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omeowners" sheetId="1" state="visible" r:id="rId1"/>
    <sheet xmlns:r="http://schemas.openxmlformats.org/officeDocument/2006/relationships" name="_Schema" sheetId="2" state="visible" r:id="rId2"/>
  </sheets>
  <definedNames>
    <definedName name="Xinput_01_Year_Built">Homeowners!$E$6</definedName>
    <definedName name="Xinput_02_Building_limit">Homeowners!$E$8</definedName>
    <definedName name="Xinput_03_Coverage_type">Homeowners!$E$10</definedName>
    <definedName name="Xinput_04_Territory">Homeowners!$E$12</definedName>
    <definedName name="Xinput_05_Base_deductible_factor">Homeowners!$E$40</definedName>
    <definedName name="Xinput_06_Burglar_alarm">Homeowners!$E$45</definedName>
    <definedName name="Xinput_07_Lien_free">Homeowners!$E$52</definedName>
    <definedName name="Xinput_08_Security_protection">Homeowners!$E$58</definedName>
    <definedName name="Xinput_09_Renovation_or_Construction_surcharge">Homeowners!$E$75</definedName>
    <definedName name="Xoutput_Premium_Adjusted">Homeowners!$J$9</definedName>
    <definedName name="Xoutput_Premium_Adjustments">Homeowners!$J$10</definedName>
    <definedName name="Xoutput_Premium_AllOther">Homeowners!$J$8</definedName>
    <definedName name="Xoutput_Premium_Total">Homeowners!$J$11</definedName>
    <definedName name="Xoutput_Premium_Wildfire">Homeowners!$J$7</definedName>
    <definedName name="Xoutput_Premium_WindHail">Homeowners!$J$6</definedName>
    <definedName name="Xoutput_Refer">Homeowners!$J$12</definedName>
    <definedName name="Xoutput_V1">Homeowners!$J$13</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3"/>
      <sz val="15"/>
      <scheme val="minor"/>
    </font>
    <font>
      <name val="Calibri"/>
      <family val="2"/>
      <b val="1"/>
      <color theme="3"/>
      <sz val="13"/>
      <scheme val="minor"/>
    </font>
    <font>
      <name val="Calibri"/>
      <family val="2"/>
      <color rgb="FF3F3F76"/>
      <sz val="11"/>
      <scheme val="minor"/>
    </font>
    <font>
      <name val="Calibri"/>
      <family val="2"/>
      <b val="1"/>
      <color rgb="FF3F3F3F"/>
      <sz val="11"/>
      <scheme val="minor"/>
    </font>
    <font>
      <name val="Calibri"/>
      <family val="2"/>
      <i val="1"/>
      <color theme="1"/>
      <sz val="11"/>
      <scheme val="minor"/>
    </font>
    <font>
      <name val="Calibri"/>
      <family val="2"/>
      <color theme="1"/>
      <sz val="11"/>
      <scheme val="minor"/>
    </font>
  </fonts>
  <fills count="5">
    <fill>
      <patternFill/>
    </fill>
    <fill>
      <patternFill patternType="gray125"/>
    </fill>
    <fill>
      <patternFill patternType="solid">
        <fgColor rgb="FFFFCC99"/>
      </patternFill>
    </fill>
    <fill>
      <patternFill patternType="solid">
        <fgColor rgb="FFF2F2F2"/>
      </patternFill>
    </fill>
    <fill>
      <patternFill patternType="solid">
        <fgColor rgb="FFFFFFCC"/>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6">
    <xf numFmtId="0" fontId="7" fillId="0" borderId="0"/>
    <xf numFmtId="0" fontId="2" fillId="0" borderId="1"/>
    <xf numFmtId="0" fontId="3" fillId="0" borderId="2"/>
    <xf numFmtId="0" fontId="4" fillId="2" borderId="3"/>
    <xf numFmtId="0" fontId="5" fillId="3" borderId="4"/>
    <xf numFmtId="0" fontId="7" fillId="4" borderId="5"/>
  </cellStyleXfs>
  <cellXfs count="22">
    <xf numFmtId="0" fontId="0" fillId="0" borderId="0" pivotButton="0" quotePrefix="0" xfId="0"/>
    <xf numFmtId="0" fontId="0" fillId="0" borderId="0" pivotButton="0" quotePrefix="0" xfId="0"/>
    <xf numFmtId="0" fontId="1" fillId="0" borderId="0" pivotButton="0" quotePrefix="0" xfId="0"/>
    <xf numFmtId="0" fontId="0" fillId="0" borderId="0" pivotButton="0" quotePrefix="0" xfId="0"/>
    <xf numFmtId="9" fontId="0" fillId="0" borderId="0" pivotButton="0" quotePrefix="0" xfId="0"/>
    <xf numFmtId="10" fontId="0" fillId="0" borderId="0" pivotButton="0" quotePrefix="0" xfId="0"/>
    <xf numFmtId="0" fontId="0" fillId="0" borderId="0" pivotButton="0" quotePrefix="0" xfId="0"/>
    <xf numFmtId="0" fontId="4" fillId="2" borderId="3" pivotButton="0" quotePrefix="0" xfId="3"/>
    <xf numFmtId="0" fontId="0" fillId="0" borderId="0" pivotButton="0" quotePrefix="0" xfId="0"/>
    <xf numFmtId="0" fontId="1" fillId="0" borderId="0" pivotButton="0" quotePrefix="0" xfId="0"/>
    <xf numFmtId="0" fontId="2" fillId="0" borderId="1" pivotButton="0" quotePrefix="0" xfId="1"/>
    <xf numFmtId="0" fontId="3" fillId="0" borderId="2" pivotButton="0" quotePrefix="0" xfId="2"/>
    <xf numFmtId="0" fontId="3" fillId="0" borderId="2" pivotButton="0" quotePrefix="0" xfId="2"/>
    <xf numFmtId="0" fontId="5" fillId="3" borderId="4" pivotButton="0" quotePrefix="0" xfId="4"/>
    <xf numFmtId="0" fontId="0" fillId="0" borderId="0" pivotButton="0" quotePrefix="0" xfId="0"/>
    <xf numFmtId="0" fontId="1" fillId="0" borderId="0" pivotButton="0" quotePrefix="0" xfId="0"/>
    <xf numFmtId="0" fontId="6" fillId="0" borderId="0" pivotButton="0" quotePrefix="0" xfId="0"/>
    <xf numFmtId="0" fontId="1" fillId="0" borderId="0" pivotButton="0" quotePrefix="0" xfId="0"/>
    <xf numFmtId="14" fontId="0" fillId="0" borderId="0" pivotButton="0" quotePrefix="0" xfId="0"/>
    <xf numFmtId="0" fontId="4" fillId="4" borderId="5" pivotButton="0" quotePrefix="0" xfId="5"/>
    <xf numFmtId="0" fontId="4" fillId="4" borderId="5" pivotButton="0" quotePrefix="0" xfId="5"/>
    <xf numFmtId="0" fontId="0" fillId="4" borderId="5" pivotButton="0" quotePrefix="0" xfId="5"/>
  </cellXfs>
  <cellStyles count="6">
    <cellStyle name="Normal" xfId="0" builtinId="0"/>
    <cellStyle name="Heading 1" xfId="1" builtinId="16"/>
    <cellStyle name="Heading 2" xfId="2" builtinId="17"/>
    <cellStyle name="Input" xfId="3" builtinId="20"/>
    <cellStyle name="Output" xfId="4" builtinId="21"/>
    <cellStyle name="Note" xfId="5" builtin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P743"/>
  <sheetViews>
    <sheetView tabSelected="1" zoomScale="85" zoomScaleNormal="85" workbookViewId="0">
      <selection activeCell="A1" sqref="A1"/>
    </sheetView>
  </sheetViews>
  <sheetFormatPr baseColWidth="8" defaultColWidth="9.140625" defaultRowHeight="15"/>
  <cols>
    <col width="45.7109375" customWidth="1" style="14" min="1" max="1"/>
    <col hidden="1" width="45.7109375" customWidth="1" style="14" min="2" max="2"/>
    <col hidden="1" width="9.140625" customWidth="1" style="14" min="3" max="3"/>
    <col hidden="1" width="58.140625" customWidth="1" style="14" min="4" max="4"/>
    <col width="9.140625" customWidth="1" style="14" min="5" max="8"/>
    <col width="27.42578125" customWidth="1" style="14" min="9" max="10"/>
    <col width="9.140625" customWidth="1" style="14" min="11" max="11"/>
    <col width="45.7109375" customWidth="1" style="14" min="12" max="12"/>
    <col width="14.42578125" customWidth="1" style="14" min="13" max="15"/>
    <col width="9.140625" customWidth="1" style="14" min="16" max="26"/>
    <col width="18.28515625" customWidth="1" style="14" min="27" max="36"/>
    <col width="18.28515625" customWidth="1" style="14" min="37" max="39"/>
    <col width="9.140625" customWidth="1" style="14" min="40" max="16384"/>
  </cols>
  <sheetData>
    <row r="1" ht="20.25" customHeight="1" s="14" thickBot="1">
      <c r="A1" s="10" t="inlineStr">
        <is>
          <t>Homeowners Rater - Excluding Earthquake (V1)</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row>
    <row r="2" ht="15.75" customHeight="1" s="14" thickTop="1"/>
    <row r="3" ht="18" customHeight="1" s="14" thickBot="1">
      <c r="A3" s="12" t="inlineStr">
        <is>
          <t>Rating Inputs</t>
        </is>
      </c>
      <c r="B3" s="12" t="n"/>
      <c r="C3" s="12" t="n"/>
      <c r="D3" s="12" t="n"/>
      <c r="E3" s="12" t="n"/>
      <c r="F3" s="12" t="n"/>
      <c r="G3" s="12" t="n"/>
      <c r="I3" s="12" t="inlineStr">
        <is>
          <t>Rating Outputs</t>
        </is>
      </c>
      <c r="J3" s="12" t="n"/>
      <c r="L3" s="12" t="inlineStr">
        <is>
          <t>Home and Contents: Rating Sequence</t>
        </is>
      </c>
      <c r="M3" s="12" t="n"/>
      <c r="N3" s="12" t="n"/>
      <c r="O3" s="12" t="n"/>
      <c r="P3" s="12" t="n"/>
      <c r="Q3" s="12" t="n"/>
      <c r="R3" s="12" t="n"/>
      <c r="S3" s="12" t="n"/>
      <c r="T3" s="12" t="n"/>
      <c r="U3" s="12" t="n"/>
      <c r="V3" s="12" t="n"/>
      <c r="W3" s="12" t="n"/>
      <c r="X3" s="12" t="n"/>
      <c r="Y3" s="12" t="n"/>
      <c r="AA3" s="12" t="inlineStr">
        <is>
          <t>Home and Contents: Charts</t>
        </is>
      </c>
      <c r="AB3" s="12" t="n"/>
      <c r="AC3" s="12" t="n"/>
      <c r="AD3" s="12" t="n"/>
      <c r="AE3" s="12" t="n"/>
      <c r="AF3" s="12" t="n"/>
      <c r="AG3" s="12" t="n"/>
      <c r="AH3" s="12" t="n"/>
      <c r="AI3" s="12" t="n"/>
      <c r="AJ3" s="12" t="n"/>
      <c r="AK3" s="12" t="n"/>
      <c r="AL3" s="12" t="n"/>
      <c r="AM3" s="12" t="n"/>
      <c r="AO3" s="12" t="inlineStr">
        <is>
          <t>Validations</t>
        </is>
      </c>
      <c r="AP3" s="12" t="n"/>
    </row>
    <row r="4" ht="15.75" customHeight="1" s="14" thickTop="1">
      <c r="L4" t="inlineStr">
        <is>
          <t>File 18-0134 p341</t>
        </is>
      </c>
      <c r="AA4" t="inlineStr">
        <is>
          <t>File 19-4548 p93</t>
        </is>
      </c>
    </row>
    <row r="5">
      <c r="A5" t="inlineStr">
        <is>
          <t>Effective Date</t>
        </is>
      </c>
      <c r="C5" t="n">
        <v>1</v>
      </c>
      <c r="E5" s="18" t="n">
        <v>44378</v>
      </c>
      <c r="I5" t="inlineStr">
        <is>
          <t>Premium_Line</t>
        </is>
      </c>
      <c r="J5" t="inlineStr">
        <is>
          <t>Premium</t>
        </is>
      </c>
      <c r="AO5" t="inlineStr">
        <is>
          <t>Yes</t>
        </is>
      </c>
    </row>
    <row r="6">
      <c r="A6" t="inlineStr">
        <is>
          <t>Year Built</t>
        </is>
      </c>
      <c r="B6">
        <f>SUBSTITUTE(SUBSTITUTE(SUBSTITUTE(SUBSTITUTE(A6," ","_"),"-",""),"?",""),",","")</f>
        <v/>
      </c>
      <c r="C6" t="n">
        <v>1</v>
      </c>
      <c r="D6">
        <f>IF(LEN(B6)&gt;0,CONCATENATE("Xinput_",TEXT(C6,"00"),"_",B6),"")</f>
        <v/>
      </c>
      <c r="E6" s="7" t="n">
        <v>1999</v>
      </c>
      <c r="F6">
        <f>YEAR(E5)-E6</f>
        <v/>
      </c>
      <c r="I6">
        <f>V7</f>
        <v/>
      </c>
      <c r="J6" s="13">
        <f>V53</f>
        <v/>
      </c>
      <c r="M6" s="17" t="n"/>
      <c r="Q6" s="17" t="inlineStr">
        <is>
          <t>Lookup result</t>
        </is>
      </c>
      <c r="V6" s="17" t="inlineStr">
        <is>
          <t>Sequence calculation</t>
        </is>
      </c>
      <c r="Y6" s="17" t="n"/>
      <c r="AA6" s="17" t="inlineStr">
        <is>
          <t>Basic premium chart</t>
        </is>
      </c>
      <c r="AO6" t="inlineStr">
        <is>
          <t>No</t>
        </is>
      </c>
    </row>
    <row r="7">
      <c r="A7" t="inlineStr">
        <is>
          <t>Renovation Year</t>
        </is>
      </c>
      <c r="C7">
        <f>SUM(MAX(C$5:C6),IF(LEN(B7)&gt;0,1,0))</f>
        <v/>
      </c>
      <c r="D7">
        <f>IF(LEN(B7)&gt;0,CONCATENATE("Xinput_",TEXT(C7,"00"),"_",B7),"")</f>
        <v/>
      </c>
      <c r="E7" s="20" t="n">
        <v>1999</v>
      </c>
      <c r="F7">
        <f>YEAR(E5)-E7</f>
        <v/>
      </c>
      <c r="I7">
        <f>W7</f>
        <v/>
      </c>
      <c r="J7" s="13">
        <f>W53</f>
        <v/>
      </c>
      <c r="L7" s="17" t="n"/>
      <c r="M7" s="17" t="inlineStr">
        <is>
          <t>Wind or hail</t>
        </is>
      </c>
      <c r="N7" s="17" t="inlineStr">
        <is>
          <t>Wildfire</t>
        </is>
      </c>
      <c r="O7" s="17" t="inlineStr">
        <is>
          <t>All other perils</t>
        </is>
      </c>
      <c r="Q7" s="17" t="inlineStr">
        <is>
          <t>Wind or hail</t>
        </is>
      </c>
      <c r="R7" s="17" t="inlineStr">
        <is>
          <t>Wildfire</t>
        </is>
      </c>
      <c r="S7" s="17" t="inlineStr">
        <is>
          <t>All other perils</t>
        </is>
      </c>
      <c r="T7" s="17" t="inlineStr">
        <is>
          <t>Dollar adjustment</t>
        </is>
      </c>
      <c r="V7" s="17" t="inlineStr">
        <is>
          <t>Wind or hail</t>
        </is>
      </c>
      <c r="W7" s="17" t="inlineStr">
        <is>
          <t>Wildfire</t>
        </is>
      </c>
      <c r="X7" s="17" t="inlineStr">
        <is>
          <t>All other perils</t>
        </is>
      </c>
      <c r="Y7" s="17" t="inlineStr">
        <is>
          <t>Total</t>
        </is>
      </c>
      <c r="AB7" t="inlineStr">
        <is>
          <t>Base premium by peril</t>
        </is>
      </c>
    </row>
    <row r="8">
      <c r="A8" t="inlineStr">
        <is>
          <t>Building limit</t>
        </is>
      </c>
      <c r="B8">
        <f>SUBSTITUTE(SUBSTITUTE(SUBSTITUTE(SUBSTITUTE(A8," ","_"),"-",""),"?",""),",","")</f>
        <v/>
      </c>
      <c r="C8">
        <f>SUM(MAX(C$5:C7),IF(LEN(B8)&gt;0,1,0))</f>
        <v/>
      </c>
      <c r="D8">
        <f>IF(LEN(B8)&gt;0,CONCATENATE("Xinput_",TEXT(C8,"00"),"_",B8),"")</f>
        <v/>
      </c>
      <c r="E8" s="7" t="n">
        <v>1000000</v>
      </c>
      <c r="I8">
        <f>X7</f>
        <v/>
      </c>
      <c r="J8" s="13">
        <f>X53</f>
        <v/>
      </c>
      <c r="L8" t="inlineStr">
        <is>
          <t>Base premium</t>
        </is>
      </c>
      <c r="Q8">
        <f>$AB$9</f>
        <v/>
      </c>
      <c r="R8">
        <f>$AC$9</f>
        <v/>
      </c>
      <c r="S8">
        <f>$AD$9</f>
        <v/>
      </c>
      <c r="V8">
        <f>Q8</f>
        <v/>
      </c>
      <c r="W8">
        <f>R8</f>
        <v/>
      </c>
      <c r="X8">
        <f>S8</f>
        <v/>
      </c>
      <c r="AA8" t="inlineStr">
        <is>
          <t>Type of coverage</t>
        </is>
      </c>
      <c r="AB8" t="inlineStr">
        <is>
          <t>Wind or hail</t>
        </is>
      </c>
      <c r="AC8" t="inlineStr">
        <is>
          <t>Wildfire</t>
        </is>
      </c>
      <c r="AD8" t="inlineStr">
        <is>
          <t>All other perils</t>
        </is>
      </c>
    </row>
    <row r="9">
      <c r="C9">
        <f>SUM(MAX(C$5:C8),IF(LEN(B9)&gt;0,1,0))</f>
        <v/>
      </c>
      <c r="D9">
        <f>IF(LEN(B9)&gt;0,CONCATENATE("Xinput_",TEXT(C9,"00"),"_",B9),"")</f>
        <v/>
      </c>
      <c r="I9" t="inlineStr">
        <is>
          <t>Adjusted Premium</t>
        </is>
      </c>
      <c r="J9" s="13">
        <f>Y53</f>
        <v/>
      </c>
      <c r="L9" t="inlineStr">
        <is>
          <t>Coverage type factor</t>
        </is>
      </c>
      <c r="M9" t="inlineStr">
        <is>
          <t>X</t>
        </is>
      </c>
      <c r="N9" t="inlineStr">
        <is>
          <t>X</t>
        </is>
      </c>
      <c r="O9" t="inlineStr">
        <is>
          <t>X</t>
        </is>
      </c>
      <c r="Q9">
        <f>VLOOKUP($E$10,$AA$14:$AB$16,2,FALSE)</f>
        <v/>
      </c>
      <c r="R9">
        <f>VLOOKUP($E$10,$AA$14:$AB$16,2,FALSE)</f>
        <v/>
      </c>
      <c r="S9">
        <f>VLOOKUP($E$10,$AA$14:$AB$16,2,FALSE)</f>
        <v/>
      </c>
      <c r="V9">
        <f>IF(AND(M9="X",Q9&gt;0),ROUND(PRODUCT(V8,Q9),2),V8)</f>
        <v/>
      </c>
      <c r="W9">
        <f>IF(AND(N9="X",R9&gt;0),ROUND(PRODUCT(W8,R9),2),W8)</f>
        <v/>
      </c>
      <c r="X9">
        <f>IF(AND(O9="X",S9&gt;0),ROUND(PRODUCT(X8,S9),2),X8)</f>
        <v/>
      </c>
      <c r="AA9" t="inlineStr">
        <is>
          <t>House</t>
        </is>
      </c>
      <c r="AB9" t="n">
        <v>23</v>
      </c>
      <c r="AC9" t="n">
        <v>104</v>
      </c>
      <c r="AD9" t="n">
        <v>338</v>
      </c>
    </row>
    <row r="10">
      <c r="A10" s="17" t="inlineStr">
        <is>
          <t>Coverage type</t>
        </is>
      </c>
      <c r="B10">
        <f>SUBSTITUTE(SUBSTITUTE(SUBSTITUTE(SUBSTITUTE(A10," ","_"),"-",""),"?",""),",","")</f>
        <v/>
      </c>
      <c r="C10">
        <f>SUM(MAX(C$5:C9),IF(LEN(B10)&gt;0,1,0))</f>
        <v/>
      </c>
      <c r="D10">
        <f>IF(LEN(B10)&gt;0,CONCATENATE("Xinput_",TEXT(C10,"00"),"_",B10),"")</f>
        <v/>
      </c>
      <c r="E10" s="7" t="inlineStr">
        <is>
          <t>Deluxe house/deluxe contents</t>
        </is>
      </c>
      <c r="I10" t="inlineStr">
        <is>
          <t>Dollar adjustments</t>
        </is>
      </c>
      <c r="J10" s="13">
        <f>Y66</f>
        <v/>
      </c>
      <c r="L10" t="inlineStr">
        <is>
          <t>Discount writing company factor</t>
        </is>
      </c>
      <c r="M10" t="inlineStr">
        <is>
          <t>X</t>
        </is>
      </c>
      <c r="N10" t="inlineStr">
        <is>
          <t>X</t>
        </is>
      </c>
      <c r="O10" t="inlineStr">
        <is>
          <t>X</t>
        </is>
      </c>
      <c r="V10">
        <f>IF(AND(M10="X",Q10&gt;0),ROUND(PRODUCT(V9,Q10),2),V9)</f>
        <v/>
      </c>
      <c r="W10">
        <f>IF(AND(N10="X",R10&gt;0),ROUND(PRODUCT(W9,R10),2),W9)</f>
        <v/>
      </c>
      <c r="X10">
        <f>IF(AND(O10="X",S10&gt;0),ROUND(PRODUCT(X9,S10),2),X9)</f>
        <v/>
      </c>
      <c r="AA10" t="inlineStr">
        <is>
          <t>Condominium/Cooperative</t>
        </is>
      </c>
      <c r="AB10" t="n">
        <v>3</v>
      </c>
      <c r="AC10" t="n">
        <v>9</v>
      </c>
      <c r="AD10" t="n">
        <v>145</v>
      </c>
    </row>
    <row r="11">
      <c r="C11">
        <f>SUM(MAX(C$5:C10),IF(LEN(B11)&gt;0,1,0))</f>
        <v/>
      </c>
      <c r="D11">
        <f>IF(LEN(B11)&gt;0,CONCATENATE("Xinput_",TEXT(C11,"00"),"_",B11),"")</f>
        <v/>
      </c>
      <c r="I11" s="17" t="inlineStr">
        <is>
          <t>Total premium</t>
        </is>
      </c>
      <c r="J11" s="13">
        <f>Y68</f>
        <v/>
      </c>
      <c r="L11" t="inlineStr">
        <is>
          <t>Territory factor</t>
        </is>
      </c>
      <c r="M11" t="inlineStr">
        <is>
          <t>X</t>
        </is>
      </c>
      <c r="N11" t="inlineStr">
        <is>
          <t>X</t>
        </is>
      </c>
      <c r="O11" t="inlineStr">
        <is>
          <t>X</t>
        </is>
      </c>
      <c r="Q11">
        <f>VLOOKUP($E12,$AA$32:$AD$108,2,FALSE)</f>
        <v/>
      </c>
      <c r="R11">
        <f>VLOOKUP($E12,$AA$32:$AD$108,3,FALSE)</f>
        <v/>
      </c>
      <c r="S11">
        <f>VLOOKUP($E12,$AA$32:$AD$108,4,FALSE)</f>
        <v/>
      </c>
      <c r="V11">
        <f>IF(AND(M11="X",Q11&gt;0),ROUND(PRODUCT(V10,Q11),2),V10)</f>
        <v/>
      </c>
      <c r="W11">
        <f>IF(AND(N11="X",R11&gt;0),ROUND(PRODUCT(W10,R11),2),W10)</f>
        <v/>
      </c>
      <c r="X11">
        <f>IF(AND(O11="X",S11&gt;0),ROUND(PRODUCT(X10,S11),2),X10)</f>
        <v/>
      </c>
      <c r="AA11" t="inlineStr">
        <is>
          <t>Renters</t>
        </is>
      </c>
      <c r="AB11" t="n">
        <v>4</v>
      </c>
      <c r="AC11" t="n">
        <v>10</v>
      </c>
      <c r="AD11" t="n">
        <v>209</v>
      </c>
    </row>
    <row r="12">
      <c r="A12" s="17" t="inlineStr">
        <is>
          <t>Territory</t>
        </is>
      </c>
      <c r="B12">
        <f>SUBSTITUTE(SUBSTITUTE(SUBSTITUTE(SUBSTITUTE(A12," ","_"),"-",""),"?",""),",","")</f>
        <v/>
      </c>
      <c r="C12">
        <f>SUM(MAX(C$5:C11),IF(LEN(B12)&gt;0,1,0))</f>
        <v/>
      </c>
      <c r="D12">
        <f>IF(LEN(B12)&gt;0,CONCATENATE("Xinput_",TEXT(C12,"00"),"_",B12),"")</f>
        <v/>
      </c>
      <c r="E12" s="7" t="n">
        <v>3</v>
      </c>
      <c r="F12">
        <f>VLOOKUP(E12,$AA$298:$AB$374,2,FALSE)</f>
        <v/>
      </c>
      <c r="G12">
        <f>VLOOKUP(CONCATENATE($E$24," ",$E$25," ",$E$26),$AA$251:$AG$258,7,FALSE)</f>
        <v/>
      </c>
      <c r="I12" s="17" t="inlineStr">
        <is>
          <t>Refer</t>
        </is>
      </c>
      <c r="J12" s="13">
        <f>MAX(F92:F104)</f>
        <v/>
      </c>
      <c r="L12" t="inlineStr">
        <is>
          <t>Burglar alarm factor</t>
        </is>
      </c>
      <c r="O12" t="inlineStr">
        <is>
          <t>X</t>
        </is>
      </c>
      <c r="S12">
        <f>IF($E$45=$AO$5,IF($E$15&gt;0,$AB$494,$AB$495),0)</f>
        <v/>
      </c>
      <c r="V12">
        <f>IF(AND(M12="X",Q12&gt;0),ROUND(PRODUCT(V11,Q12),2),V11)</f>
        <v/>
      </c>
      <c r="W12">
        <f>IF(AND(N12="X",R12&gt;0),ROUND(PRODUCT(W11,R12),2),W11)</f>
        <v/>
      </c>
      <c r="X12">
        <f>IF(AND(O12="X",S12&gt;0),ROUND(PRODUCT(X11,S12),2),X11)</f>
        <v/>
      </c>
    </row>
    <row r="13">
      <c r="C13">
        <f>SUM(MAX(C$5:C12),IF(LEN(B13)&gt;0,1,0))</f>
        <v/>
      </c>
      <c r="D13">
        <f>IF(LEN(B13)&gt;0,CONCATENATE("Xinput_",TEXT(C13,"00"),"_",B13),"")</f>
        <v/>
      </c>
      <c r="I13" s="17" t="inlineStr">
        <is>
          <t>Product Version</t>
        </is>
      </c>
      <c r="J13" s="13" t="inlineStr">
        <is>
          <t>V1.0.0</t>
        </is>
      </c>
      <c r="L13" t="inlineStr">
        <is>
          <t>Condo/coop preference factor</t>
        </is>
      </c>
      <c r="M13" t="inlineStr">
        <is>
          <t>X</t>
        </is>
      </c>
      <c r="N13" t="inlineStr">
        <is>
          <t>X</t>
        </is>
      </c>
      <c r="O13" t="inlineStr">
        <is>
          <t>X</t>
        </is>
      </c>
      <c r="V13">
        <f>IF(AND(M13="X",Q13&gt;0),ROUND(PRODUCT(V12,Q13),2),V12)</f>
        <v/>
      </c>
      <c r="W13">
        <f>IF(AND(N13="X",R13&gt;0),ROUND(PRODUCT(W12,R13),2),W12)</f>
        <v/>
      </c>
      <c r="X13">
        <f>IF(AND(O13="X",S13&gt;0),ROUND(PRODUCT(X12,S13),2),X12)</f>
        <v/>
      </c>
      <c r="AA13" s="17" t="inlineStr">
        <is>
          <t>Coverage type chart</t>
        </is>
      </c>
    </row>
    <row r="14">
      <c r="A14" s="17" t="inlineStr">
        <is>
          <t>Coverage Adjustment</t>
        </is>
      </c>
      <c r="C14">
        <f>SUM(MAX(C$5:C13),IF(LEN(B14)&gt;0,1,0))</f>
        <v/>
      </c>
      <c r="D14">
        <f>IF(LEN(B14)&gt;0,CONCATENATE("Xinput_",TEXT(C14,"00"),"_",B14),"")</f>
        <v/>
      </c>
      <c r="L14" t="inlineStr">
        <is>
          <t>Coverage adjustments</t>
        </is>
      </c>
      <c r="V14">
        <f>IF(AND(M14="X",Q14&gt;0),ROUND(PRODUCT(V13,Q14),2),V13)</f>
        <v/>
      </c>
      <c r="W14">
        <f>IF(AND(N14="X",R14&gt;0),ROUND(PRODUCT(W13,R14),2),W13)</f>
        <v/>
      </c>
      <c r="X14">
        <f>IF(AND(O14="X",S14&gt;0),ROUND(PRODUCT(X13,S14),2),X13)</f>
        <v/>
      </c>
      <c r="AA14" t="inlineStr">
        <is>
          <t>Deluxe house/deluxe contents</t>
        </is>
      </c>
      <c r="AB14" t="n">
        <v>1.1</v>
      </c>
    </row>
    <row r="15">
      <c r="A15" t="inlineStr">
        <is>
          <t>Contents adjustment</t>
        </is>
      </c>
      <c r="C15">
        <f>SUM(MAX(C$5:C14),IF(LEN(B15)&gt;0,1,0))</f>
        <v/>
      </c>
      <c r="D15">
        <f>IF(LEN(B15)&gt;0,CONCATENATE("Xinput_",TEXT(C15,"00"),"_",B15),"")</f>
        <v/>
      </c>
      <c r="E15" s="20" t="n">
        <v>0.2</v>
      </c>
      <c r="I15" s="7" t="inlineStr">
        <is>
          <t>PF Input</t>
        </is>
      </c>
      <c r="L15" t="inlineStr">
        <is>
          <t>∙ contents</t>
        </is>
      </c>
      <c r="M15" t="inlineStr">
        <is>
          <t>X</t>
        </is>
      </c>
      <c r="N15" t="inlineStr">
        <is>
          <t>X</t>
        </is>
      </c>
      <c r="O15" t="inlineStr">
        <is>
          <t>X</t>
        </is>
      </c>
      <c r="Q15">
        <f>SUM(1,IF($E$15&gt;$AB$194,($E$15-$AB$194)/$AA$194*$AC$194,
IF($E$15&gt;$AB$199,($AB$194-$E$15)/$AA$199*$AC$199,
IF($E$15&gt;$AB$202,($AB$194-$AB$199)/$AA$199*$AC$199+($AB$199-$E$15)/$AA$202*$AC$202,
($AB$194-$AB$199)/$AA$199*$AC$199+($AB$199-$AB$202)/$AA$202*$AC$202))))</f>
        <v/>
      </c>
      <c r="R15">
        <f>SUM(1,IF($E$15&gt;$AB$194,($E$15-$AB$194)/$AA$194*$AC$194,
IF($E$15&gt;$AB$199,($AB$194-$E$15)/$AA$199*$AC$199,
IF($E$15&gt;$AB$202,($AB$194-$AB$199)/$AA$199*$AC$199+($AB$199-$E$15)/$AA$202*$AC$202,
($AB$194-$AB$199)/$AA$199*$AC$199+($AB$199-$AB$202)/$AA$202*$AC$202))))</f>
        <v/>
      </c>
      <c r="S15">
        <f>SUM(1,IF($E$15&gt;$AB$194,($E$15-$AB$194)/$AA$194*$AC$194,
IF($E$15&gt;$AB$199,($AB$194-$E$15)/$AA$199*$AC$199,
IF($E$15&gt;$AB$202,($AB$194-$AB$199)/$AA$199*$AC$199+($AB$199-$E$15)/$AA$202*$AC$202,
($AB$194-$AB$199)/$AA$199*$AC$199+($AB$199-$AB$202)/$AA$202*$AC$202))))</f>
        <v/>
      </c>
      <c r="V15">
        <f>IF(AND(M15="X",Q15&gt;0),ROUND(PRODUCT(V14,Q15),2),V14)</f>
        <v/>
      </c>
      <c r="W15">
        <f>IF(AND(N15="X",R15&gt;0),ROUND(PRODUCT(W14,R15),2),W14)</f>
        <v/>
      </c>
      <c r="X15">
        <f>IF(AND(O15="X",S15&gt;0),ROUND(PRODUCT(X14,S15),2),X14)</f>
        <v/>
      </c>
      <c r="AA15" t="inlineStr">
        <is>
          <t>Deluxe house/standard contents</t>
        </is>
      </c>
      <c r="AB15" t="n">
        <v>1</v>
      </c>
    </row>
    <row r="16">
      <c r="A16" t="inlineStr">
        <is>
          <t>Other permanent structures</t>
        </is>
      </c>
      <c r="C16">
        <f>SUM(MAX(C$5:C15),IF(LEN(B16)&gt;0,1,0))</f>
        <v/>
      </c>
      <c r="D16">
        <f>IF(LEN(B16)&gt;0,CONCATENATE("Xinput_",TEXT(C16,"00"),"_",B16),"")</f>
        <v/>
      </c>
      <c r="E16" s="20" t="n">
        <v>0.05</v>
      </c>
      <c r="I16" s="13" t="inlineStr">
        <is>
          <t>PF Output</t>
        </is>
      </c>
      <c r="L16" t="inlineStr">
        <is>
          <t>∙ other permanent structures</t>
        </is>
      </c>
      <c r="M16" t="inlineStr">
        <is>
          <t>X</t>
        </is>
      </c>
      <c r="N16" t="inlineStr">
        <is>
          <t>X</t>
        </is>
      </c>
      <c r="O16" t="inlineStr">
        <is>
          <t>X</t>
        </is>
      </c>
      <c r="Q16">
        <f>SUM(1,IF($E$16&gt;$AB$211,($E$16-$AB$211)/$AA$211*$AC$211,IF($E$16&gt;$AF$211,($AB$211-$E$16)/$AE$211*$AG$211)))</f>
        <v/>
      </c>
      <c r="R16">
        <f>SUM(1,IF($E$16&gt;$AB$211,($E$16-$AB$211)/$AA$211*$AC$211,IF($E$16&gt;$AF$211,($AB$211-$E$16)/$AE$211*$AG$211)))</f>
        <v/>
      </c>
      <c r="S16">
        <f>SUM(1,IF($E$16&gt;$AB$211,($E$16-$AB$211)/$AA$211*$AC$211,IF($E$16&gt;$AF$211,($AB$211-$E$16)/$AE$211*$AG$211)))</f>
        <v/>
      </c>
      <c r="V16">
        <f>IF(AND(M16="X",Q16&gt;0),ROUND(PRODUCT(V15,Q16),2),V15)</f>
        <v/>
      </c>
      <c r="W16">
        <f>IF(AND(N16="X",R16&gt;0),ROUND(PRODUCT(W15,R16),2),W15)</f>
        <v/>
      </c>
      <c r="X16">
        <f>IF(AND(O16="X",S16&gt;0),ROUND(PRODUCT(X15,S16),2),X15)</f>
        <v/>
      </c>
      <c r="AA16" t="inlineStr">
        <is>
          <t>Deluxe house without contents or with fire contents*</t>
        </is>
      </c>
      <c r="AB16" t="n">
        <v>0.7</v>
      </c>
    </row>
    <row r="17">
      <c r="A17" t="inlineStr">
        <is>
          <t>Actual cash value</t>
        </is>
      </c>
      <c r="C17">
        <f>SUM(MAX(C$5:C16),IF(LEN(B17)&gt;0,1,0))</f>
        <v/>
      </c>
      <c r="D17">
        <f>IF(LEN(B17)&gt;0,CONCATENATE("Xinput_",TEXT(C17,"00"),"_",B17),"")</f>
        <v/>
      </c>
      <c r="E17" s="20" t="inlineStr">
        <is>
          <t>No</t>
        </is>
      </c>
      <c r="I17" s="21" t="inlineStr">
        <is>
          <t>Not mapped in PF</t>
        </is>
      </c>
      <c r="L17" t="inlineStr">
        <is>
          <t>∙ additions and alterations</t>
        </is>
      </c>
      <c r="M17" t="inlineStr">
        <is>
          <t>X</t>
        </is>
      </c>
      <c r="N17" t="inlineStr">
        <is>
          <t>X</t>
        </is>
      </c>
      <c r="O17" t="inlineStr">
        <is>
          <t>X</t>
        </is>
      </c>
      <c r="V17">
        <f>IF(AND(M17="X",Q17&gt;0),ROUND(PRODUCT(V16,Q17),2),V16)</f>
        <v/>
      </c>
      <c r="W17">
        <f>IF(AND(N17="X",R17&gt;0),ROUND(PRODUCT(W16,R17),2),W16)</f>
        <v/>
      </c>
      <c r="X17">
        <f>IF(AND(O17="X",S17&gt;0),ROUND(PRODUCT(X16,S17),2),X16)</f>
        <v/>
      </c>
      <c r="AA17" t="inlineStr">
        <is>
          <t>Deluxe condominium or cooperative**</t>
        </is>
      </c>
      <c r="AB17" t="n">
        <v>1.27</v>
      </c>
    </row>
    <row r="18">
      <c r="C18">
        <f>SUM(MAX(C$5:C17),IF(LEN(B18)&gt;0,1,0))</f>
        <v/>
      </c>
      <c r="D18">
        <f>IF(LEN(B18)&gt;0,CONCATENATE("Xinput_",TEXT(C18,"00"),"_",B18),"")</f>
        <v/>
      </c>
      <c r="L18" t="inlineStr">
        <is>
          <t>Mold remediation expenses</t>
        </is>
      </c>
      <c r="M18" t="inlineStr">
        <is>
          <t>X</t>
        </is>
      </c>
      <c r="N18" t="inlineStr">
        <is>
          <t>X</t>
        </is>
      </c>
      <c r="O18" t="inlineStr">
        <is>
          <t>X</t>
        </is>
      </c>
      <c r="Q18" s="5">
        <f>SUM(1,VLOOKUP($E$19,$AA$229:$AB$236,2,FALSE))</f>
        <v/>
      </c>
      <c r="R18" s="5">
        <f>SUM(1,VLOOKUP($E$19,$AA$229:$AB$236,2,FALSE))</f>
        <v/>
      </c>
      <c r="S18" s="5">
        <f>SUM(1,VLOOKUP($E$19,$AA$229:$AB$236,2,FALSE))</f>
        <v/>
      </c>
      <c r="T18" s="5" t="n"/>
      <c r="V18">
        <f>IF(AND(M18="X",Q18&gt;0),ROUND(PRODUCT(V17,Q18),2),V17)</f>
        <v/>
      </c>
      <c r="W18">
        <f>IF(AND(N18="X",R18&gt;0),ROUND(PRODUCT(W17,R18),2),W17)</f>
        <v/>
      </c>
      <c r="X18">
        <f>IF(AND(O18="X",S18&gt;0),ROUND(PRODUCT(X17,S18),2),X17)</f>
        <v/>
      </c>
      <c r="AA18" t="inlineStr">
        <is>
          <t>Standard condominium or cooperative</t>
        </is>
      </c>
      <c r="AB18" t="n">
        <v>1</v>
      </c>
    </row>
    <row r="19">
      <c r="A19" s="17" t="inlineStr">
        <is>
          <t>Mold remediation expenses</t>
        </is>
      </c>
      <c r="C19">
        <f>SUM(MAX(C$5:C18),IF(LEN(B19)&gt;0,1,0))</f>
        <v/>
      </c>
      <c r="D19">
        <f>IF(LEN(B19)&gt;0,CONCATENATE("Xinput_",TEXT(C19,"00"),"_",B19),"")</f>
        <v/>
      </c>
      <c r="E19" s="20" t="n">
        <v>0</v>
      </c>
      <c r="L19" t="inlineStr">
        <is>
          <t>Actual cash value</t>
        </is>
      </c>
      <c r="M19" t="inlineStr">
        <is>
          <t>X</t>
        </is>
      </c>
      <c r="N19" t="inlineStr">
        <is>
          <t>X</t>
        </is>
      </c>
      <c r="O19" t="inlineStr">
        <is>
          <t>X</t>
        </is>
      </c>
      <c r="Q19">
        <f>SUM(1,IF($E$17=$AO$5,$AB$223,0))</f>
        <v/>
      </c>
      <c r="R19">
        <f>SUM(1,IF($E$17=$AO$5,$AB$223,0))</f>
        <v/>
      </c>
      <c r="S19">
        <f>SUM(1,IF($E$17=$AO$5,$AB$223,0))</f>
        <v/>
      </c>
      <c r="V19">
        <f>IF(AND(M19="X",Q19&gt;0),ROUND(PRODUCT(V18,Q19),2),V18)</f>
        <v/>
      </c>
      <c r="W19">
        <f>IF(AND(N19="X",R19&gt;0),ROUND(PRODUCT(W18,R19),2),W18)</f>
        <v/>
      </c>
      <c r="X19">
        <f>IF(AND(O19="X",S19&gt;0),ROUND(PRODUCT(X18,S19),2),X18)</f>
        <v/>
      </c>
      <c r="AA19" t="inlineStr">
        <is>
          <t>Deluxe renters</t>
        </is>
      </c>
      <c r="AB19" t="n">
        <v>1.27</v>
      </c>
    </row>
    <row r="20">
      <c r="C20">
        <f>SUM(MAX(C$5:C19),IF(LEN(B20)&gt;0,1,0))</f>
        <v/>
      </c>
      <c r="D20">
        <f>IF(LEN(B20)&gt;0,CONCATENATE("Xinput_",TEXT(C20,"00"),"_",B20),"")</f>
        <v/>
      </c>
      <c r="L20" t="inlineStr">
        <is>
          <t>GreenWise upgrade</t>
        </is>
      </c>
      <c r="M20" t="inlineStr">
        <is>
          <t>X</t>
        </is>
      </c>
      <c r="N20" t="inlineStr">
        <is>
          <t>X</t>
        </is>
      </c>
      <c r="O20" t="inlineStr">
        <is>
          <t>X</t>
        </is>
      </c>
      <c r="Q20">
        <f>SUM(1,VLOOKUP($E$21,$AA$241:$AB$246,2,FALSE))</f>
        <v/>
      </c>
      <c r="R20">
        <f>SUM(1,VLOOKUP($E$21,$AA$241:$AB$246,2,FALSE))</f>
        <v/>
      </c>
      <c r="S20">
        <f>SUM(1,VLOOKUP($E$21,$AA$241:$AB$246,2,FALSE))</f>
        <v/>
      </c>
      <c r="V20">
        <f>IF(AND(M20="X",Q20&gt;0),ROUND(PRODUCT(V19,Q20),2),V19)</f>
        <v/>
      </c>
      <c r="W20">
        <f>IF(AND(N20="X",R20&gt;0),ROUND(PRODUCT(W19,R20),2),W19)</f>
        <v/>
      </c>
      <c r="X20">
        <f>IF(AND(O20="X",S20&gt;0),ROUND(PRODUCT(X19,S20),2),X19)</f>
        <v/>
      </c>
      <c r="AA20" t="inlineStr">
        <is>
          <t>Standard renters</t>
        </is>
      </c>
      <c r="AB20" t="n">
        <v>1</v>
      </c>
    </row>
    <row r="21">
      <c r="A21" s="17" t="inlineStr">
        <is>
          <t>GreenWise upgrade</t>
        </is>
      </c>
      <c r="C21">
        <f>SUM(MAX(C$5:C20),IF(LEN(B21)&gt;0,1,0))</f>
        <v/>
      </c>
      <c r="D21">
        <f>IF(LEN(B21)&gt;0,CONCATENATE("Xinput_",TEXT(C21,"00"),"_",B21),"")</f>
        <v/>
      </c>
      <c r="E21" s="20" t="n">
        <v>0</v>
      </c>
      <c r="L21" t="inlineStr">
        <is>
          <t>Fire protection factor</t>
        </is>
      </c>
      <c r="N21" t="inlineStr">
        <is>
          <t>X</t>
        </is>
      </c>
      <c r="O21" t="inlineStr">
        <is>
          <t>X</t>
        </is>
      </c>
      <c r="R21">
        <f>VLOOKUP(CONCATENATE($E$24," ",$E$25," ",$E$26),$AA$251:$AG$258,5,FALSE)</f>
        <v/>
      </c>
      <c r="S21">
        <f>VLOOKUP(CONCATENATE($E$24," ",$E$25," ",$E$26),$AA$251:$AG$258,6,FALSE)</f>
        <v/>
      </c>
      <c r="V21">
        <f>IF(AND(M21="X",Q21&gt;0),ROUND(PRODUCT(V20,Q21),2),V20)</f>
        <v/>
      </c>
      <c r="W21">
        <f>IF(AND(N21="X",R21&gt;0),ROUND(PRODUCT(W20,R21),2),W20)</f>
        <v/>
      </c>
      <c r="X21">
        <f>IF(AND(O21="X",S21&gt;0),ROUND(PRODUCT(X20,S21),2),X20)</f>
        <v/>
      </c>
      <c r="AA21" t="inlineStr">
        <is>
          <t>* There is an additional charge for Fire contents coverage.</t>
        </is>
      </c>
    </row>
    <row r="22">
      <c r="A22" s="17" t="n"/>
      <c r="C22">
        <f>SUM(MAX(C$5:C21),IF(LEN(B22)&gt;0,1,0))</f>
        <v/>
      </c>
      <c r="D22">
        <f>IF(LEN(B22)&gt;0,CONCATENATE("Xinput_",TEXT(C22,"00"),"_",B22),"")</f>
        <v/>
      </c>
      <c r="L22" t="inlineStr">
        <is>
          <t>Suburban rating discount</t>
        </is>
      </c>
      <c r="N22" t="inlineStr">
        <is>
          <t>X</t>
        </is>
      </c>
      <c r="O22" t="inlineStr">
        <is>
          <t>X</t>
        </is>
      </c>
      <c r="R22">
        <f>SUM(1,IF($E$50=$AO$5,-$AC$504,0))</f>
        <v/>
      </c>
      <c r="S22">
        <f>SUM(1,IF($E$50=$AO$5,-$AD$504))</f>
        <v/>
      </c>
      <c r="V22">
        <f>IF(AND(M22="X",Q22&gt;0),ROUND(PRODUCT(V21,Q22),2),V21)</f>
        <v/>
      </c>
      <c r="W22">
        <f>IF(AND(N22="X",R22&gt;0),ROUND(PRODUCT(W21,R22),2),W21)</f>
        <v/>
      </c>
      <c r="X22">
        <f>IF(AND(O22="X",S22&gt;0),ROUND(PRODUCT(X21,S22),2),X21)</f>
        <v/>
      </c>
      <c r="AA22" t="inlineStr">
        <is>
          <t>** If Condominium Preference or Cooperative Preference Coverage applies, multiply the factor above by 0.85.</t>
        </is>
      </c>
    </row>
    <row r="23">
      <c r="A23" s="17" t="inlineStr">
        <is>
          <t>Fire protection</t>
        </is>
      </c>
      <c r="C23">
        <f>SUM(MAX(C$5:C22),IF(LEN(B23)&gt;0,1,0))</f>
        <v/>
      </c>
      <c r="D23">
        <f>IF(LEN(B23)&gt;0,CONCATENATE("Xinput_",TEXT(C23,"00"),"_",B23),"")</f>
        <v/>
      </c>
      <c r="L23" t="inlineStr">
        <is>
          <t>Fire resistive discount</t>
        </is>
      </c>
      <c r="N23" t="inlineStr">
        <is>
          <t>X</t>
        </is>
      </c>
      <c r="O23" t="inlineStr">
        <is>
          <t>X</t>
        </is>
      </c>
      <c r="R23">
        <f>SUM(1,IF($E$49=$AO$5,-$AC$503))</f>
        <v/>
      </c>
      <c r="S23">
        <f>SUM(1,IF($E$49=$AO$5,-$AD$503,0))</f>
        <v/>
      </c>
      <c r="V23">
        <f>IF(AND(M23="X",Q23&gt;0),ROUND(PRODUCT(V22,Q23),2),V22)</f>
        <v/>
      </c>
      <c r="W23">
        <f>IF(AND(N23="X",R23&gt;0),ROUND(PRODUCT(W22,R23),2),W22)</f>
        <v/>
      </c>
      <c r="X23">
        <f>IF(AND(O23="X",S23&gt;0),ROUND(PRODUCT(X22,S23),2),X22)</f>
        <v/>
      </c>
    </row>
    <row r="24">
      <c r="A24" t="inlineStr">
        <is>
          <t>Fire station</t>
        </is>
      </c>
      <c r="C24">
        <f>SUM(MAX(C$5:C23),IF(LEN(B24)&gt;0,1,0))</f>
        <v/>
      </c>
      <c r="D24">
        <f>IF(LEN(B24)&gt;0,CONCATENATE("Xinput_",TEXT(C24,"00"),"_",B24),"")</f>
        <v/>
      </c>
      <c r="E24" s="20" t="inlineStr">
        <is>
          <t>Yes</t>
        </is>
      </c>
      <c r="L24" t="inlineStr">
        <is>
          <t>Residential sprinkler discount</t>
        </is>
      </c>
      <c r="O24" t="inlineStr">
        <is>
          <t>X</t>
        </is>
      </c>
      <c r="S24">
        <f>SUM(1,-IF($E$48=$AO$5,$AD$502,0))</f>
        <v/>
      </c>
      <c r="V24">
        <f>IF(AND(M24="X",Q24&gt;0),ROUND(PRODUCT(V23,Q24),2),V23)</f>
        <v/>
      </c>
      <c r="W24">
        <f>IF(AND(N24="X",R24&gt;0),ROUND(PRODUCT(W23,R24),2),W23)</f>
        <v/>
      </c>
      <c r="X24">
        <f>IF(AND(O24="X",S24&gt;0),ROUND(PRODUCT(X23,S24),2),X23)</f>
        <v/>
      </c>
      <c r="AA24" s="17" t="inlineStr">
        <is>
          <t>Discount writing company chart</t>
        </is>
      </c>
    </row>
    <row r="25">
      <c r="A25" t="inlineStr">
        <is>
          <t>Fire hydrant</t>
        </is>
      </c>
      <c r="C25">
        <f>SUM(MAX(C$5:C24),IF(LEN(B25)&gt;0,1,0))</f>
        <v/>
      </c>
      <c r="D25">
        <f>IF(LEN(B25)&gt;0,CONCATENATE("Xinput_",TEXT(C25,"00"),"_",B25),"")</f>
        <v/>
      </c>
      <c r="E25" s="20" t="inlineStr">
        <is>
          <t>Yes</t>
        </is>
      </c>
      <c r="L25" t="inlineStr">
        <is>
          <t>Roof covering surcharge</t>
        </is>
      </c>
      <c r="M25" t="inlineStr">
        <is>
          <t>X</t>
        </is>
      </c>
      <c r="N25" t="inlineStr">
        <is>
          <t>X</t>
        </is>
      </c>
      <c r="Q25">
        <f>SUM(1,IF($E$72=$AO$5,$AB$582,0))</f>
        <v/>
      </c>
      <c r="R25">
        <f>SUM(1,IF($E$72=$AO$5,$AC$582,0))</f>
        <v/>
      </c>
      <c r="V25">
        <f>IF(AND(M25="X",Q25&gt;0),ROUND(PRODUCT(V24,Q25),2),V24)</f>
        <v/>
      </c>
      <c r="W25">
        <f>IF(AND(N25="X",R25&gt;0),ROUND(PRODUCT(W24,R25),2),W24)</f>
        <v/>
      </c>
      <c r="X25">
        <f>IF(AND(O25="X",S25&gt;0),ROUND(PRODUCT(X24,S25),2),X24)</f>
        <v/>
      </c>
      <c r="AB25" t="inlineStr">
        <is>
          <t>House</t>
        </is>
      </c>
      <c r="AC25" t="inlineStr">
        <is>
          <t>Condominium or cooperative</t>
        </is>
      </c>
      <c r="AD25" t="inlineStr">
        <is>
          <t>Renters</t>
        </is>
      </c>
    </row>
    <row r="26">
      <c r="A26" t="inlineStr">
        <is>
          <t>Central station</t>
        </is>
      </c>
      <c r="C26">
        <f>SUM(MAX(C$5:C25),IF(LEN(B26)&gt;0,1,0))</f>
        <v/>
      </c>
      <c r="D26">
        <f>IF(LEN(B26)&gt;0,CONCATENATE("Xinput_",TEXT(C26,"00"),"_",B26),"")</f>
        <v/>
      </c>
      <c r="E26" s="20" t="inlineStr">
        <is>
          <t>Yes</t>
        </is>
      </c>
      <c r="L26" t="inlineStr">
        <is>
          <t>Shelter in place discount</t>
        </is>
      </c>
      <c r="N26" t="inlineStr">
        <is>
          <t>X</t>
        </is>
      </c>
      <c r="R26">
        <f>SUM(1,IF(E33=$AO$5,AB282,0))</f>
        <v/>
      </c>
      <c r="V26">
        <f>IF(AND(M26="X",Q26&gt;0),ROUND(PRODUCT(V25,Q26),2),V25)</f>
        <v/>
      </c>
      <c r="W26">
        <f>IF(AND(N26="X",R26&gt;0),ROUND(PRODUCT(W25,R26),2),W25)</f>
        <v/>
      </c>
      <c r="X26">
        <f>IF(AND(O26="X",S26&gt;0),ROUND(PRODUCT(X25,S26),2),X25)</f>
        <v/>
      </c>
      <c r="AA26" t="inlineStr">
        <is>
          <t>Pacific Indemnity Company</t>
        </is>
      </c>
      <c r="AB26" t="n">
        <v>1</v>
      </c>
      <c r="AC26" t="n">
        <v>1</v>
      </c>
      <c r="AD26" t="n">
        <v>1</v>
      </c>
    </row>
    <row r="27">
      <c r="C27">
        <f>SUM(MAX(C$5:C26),IF(LEN(B27)&gt;0,1,0))</f>
        <v/>
      </c>
      <c r="D27">
        <f>IF(LEN(B27)&gt;0,CONCATENATE("Xinput_",TEXT(C27,"00"),"_",B27),"")</f>
        <v/>
      </c>
      <c r="L27" t="inlineStr">
        <is>
          <t>Wildfire adjustment factor</t>
        </is>
      </c>
      <c r="N27" t="inlineStr">
        <is>
          <t>X</t>
        </is>
      </c>
      <c r="R27">
        <f>VLOOKUP($E$29,$AA$274:$AF$278,MATCH($E$30,$AA$273:$AF$273,0),FALSE)</f>
        <v/>
      </c>
      <c r="V27">
        <f>IF(AND(M27="X",Q27&gt;0),ROUND(PRODUCT(V26,Q27),2),V26)</f>
        <v/>
      </c>
      <c r="W27">
        <f>IF(AND(N27="X",R27&gt;0),ROUND(PRODUCT(W26,R27),2),W26)</f>
        <v/>
      </c>
      <c r="X27">
        <f>IF(AND(O27="X",S27&gt;0),ROUND(PRODUCT(X26,S27),2),X26)</f>
        <v/>
      </c>
      <c r="AA27" t="inlineStr">
        <is>
          <t>Vigilant Insurance Company</t>
        </is>
      </c>
      <c r="AB27" t="n">
        <v>1</v>
      </c>
      <c r="AC27" t="n">
        <v>1</v>
      </c>
      <c r="AD27" t="n">
        <v>1</v>
      </c>
    </row>
    <row r="28">
      <c r="A28" s="17" t="inlineStr">
        <is>
          <t>Wildfire adjustment</t>
        </is>
      </c>
      <c r="C28">
        <f>SUM(MAX(C$5:C27),IF(LEN(B28)&gt;0,1,0))</f>
        <v/>
      </c>
      <c r="D28">
        <f>IF(LEN(B28)&gt;0,CONCATENATE("Xinput_",TEXT(C28,"00"),"_",B28),"")</f>
        <v/>
      </c>
      <c r="L28" t="inlineStr">
        <is>
          <t>No combustible decks, balconies, porches, or exterior stairs discount</t>
        </is>
      </c>
      <c r="N28" t="inlineStr">
        <is>
          <t>X</t>
        </is>
      </c>
      <c r="R28">
        <f>SUM(1,IF(E34=$AO$5,AB283,0))</f>
        <v/>
      </c>
      <c r="V28">
        <f>IF(AND(M28="X",Q28&gt;0),ROUND(PRODUCT(V27,Q28),2),V27)</f>
        <v/>
      </c>
      <c r="W28">
        <f>IF(AND(N28="X",R28&gt;0),ROUND(PRODUCT(W27,R28),2),W27)</f>
        <v/>
      </c>
      <c r="X28">
        <f>IF(AND(O28="X",S28&gt;0),ROUND(PRODUCT(X27,S28),2),X27)</f>
        <v/>
      </c>
    </row>
    <row r="29">
      <c r="A29" t="inlineStr">
        <is>
          <t>Zone Hazard</t>
        </is>
      </c>
      <c r="C29">
        <f>SUM(MAX(C$5:C28),IF(LEN(B29)&gt;0,1,0))</f>
        <v/>
      </c>
      <c r="D29">
        <f>IF(LEN(B29)&gt;0,CONCATENATE("Xinput_",TEXT(C29,"00"),"_",B29),"")</f>
        <v/>
      </c>
      <c r="E29" s="20" t="inlineStr">
        <is>
          <t>Urban Unzoned</t>
        </is>
      </c>
      <c r="L29" t="inlineStr">
        <is>
          <t>Flame/ember resistant vents discount</t>
        </is>
      </c>
      <c r="N29" t="inlineStr">
        <is>
          <t>X</t>
        </is>
      </c>
      <c r="R29">
        <f>SUM(1,IF(E35=$AO$5,AB284,0))</f>
        <v/>
      </c>
      <c r="V29">
        <f>IF(AND(M29="X",Q29&gt;0),ROUND(PRODUCT(V28,Q29),2),V28)</f>
        <v/>
      </c>
      <c r="W29">
        <f>IF(AND(N29="X",R29&gt;0),ROUND(PRODUCT(W28,R29),2),W28)</f>
        <v/>
      </c>
      <c r="X29">
        <f>IF(AND(O29="X",S29&gt;0),ROUND(PRODUCT(X28,S29),2),X28)</f>
        <v/>
      </c>
      <c r="AA29" s="17" t="inlineStr">
        <is>
          <t>Territory relativity chart</t>
        </is>
      </c>
    </row>
    <row r="30">
      <c r="A30" t="inlineStr">
        <is>
          <t>Site Hazard</t>
        </is>
      </c>
      <c r="C30">
        <f>SUM(MAX(C$5:C29),IF(LEN(B30)&gt;0,1,0))</f>
        <v/>
      </c>
      <c r="D30">
        <f>IF(LEN(B30)&gt;0,CONCATENATE("Xinput_",TEXT(C30,"00"),"_",B30),"")</f>
        <v/>
      </c>
      <c r="E30" s="20" t="inlineStr">
        <is>
          <t>No threat</t>
        </is>
      </c>
      <c r="L30" t="inlineStr">
        <is>
          <t>Defensible space adjustment</t>
        </is>
      </c>
      <c r="N30" t="inlineStr">
        <is>
          <t>X</t>
        </is>
      </c>
      <c r="R30">
        <f>SUM(1,VLOOKUP(E36,AH282:AI284,2,FALSE))</f>
        <v/>
      </c>
      <c r="V30">
        <f>IF(AND(M30="X",Q30&gt;0),ROUND(PRODUCT(V29,Q30),2),V29)</f>
        <v/>
      </c>
      <c r="W30">
        <f>IF(AND(N30="X",R30&gt;0),ROUND(PRODUCT(W29,R30),2),W29)</f>
        <v/>
      </c>
      <c r="X30">
        <f>IF(AND(O30="X",S30&gt;0),ROUND(PRODUCT(X29,S30),2),X29)</f>
        <v/>
      </c>
      <c r="AA30" t="inlineStr">
        <is>
          <t>House</t>
        </is>
      </c>
    </row>
    <row r="31">
      <c r="C31">
        <f>SUM(MAX(C$5:C30),IF(LEN(B31)&gt;0,1,0))</f>
        <v/>
      </c>
      <c r="D31">
        <f>IF(LEN(B31)&gt;0,CONCATENATE("Xinput_",TEXT(C31,"00"),"_",B31),"")</f>
        <v/>
      </c>
      <c r="L31" t="inlineStr">
        <is>
          <t>Wildfire suppression discount</t>
        </is>
      </c>
      <c r="N31" t="inlineStr">
        <is>
          <t>X</t>
        </is>
      </c>
      <c r="R31">
        <f>SUM(1,VLOOKUP(E37,$AE$282:$AF$286,2,FALSE))</f>
        <v/>
      </c>
      <c r="V31">
        <f>IF(AND(M31="X",Q31&gt;0),ROUND(PRODUCT(V30,Q31),2),V30)</f>
        <v/>
      </c>
      <c r="W31">
        <f>IF(AND(N31="X",R31&gt;0),ROUND(PRODUCT(W30,R31),2),W30)</f>
        <v/>
      </c>
      <c r="X31">
        <f>IF(AND(O31="X",S31&gt;0),ROUND(PRODUCT(X30,S31),2),X30)</f>
        <v/>
      </c>
      <c r="AA31" t="inlineStr">
        <is>
          <t>Territory</t>
        </is>
      </c>
      <c r="AB31" t="inlineStr">
        <is>
          <t>Wind or hail</t>
        </is>
      </c>
      <c r="AC31" t="inlineStr">
        <is>
          <t>Wildfire</t>
        </is>
      </c>
      <c r="AD31" t="inlineStr">
        <is>
          <t>All other perils</t>
        </is>
      </c>
    </row>
    <row r="32">
      <c r="A32" s="17" t="inlineStr">
        <is>
          <t>Wildfire reduction</t>
        </is>
      </c>
      <c r="C32">
        <f>SUM(MAX(C$5:C31),IF(LEN(B32)&gt;0,1,0))</f>
        <v/>
      </c>
      <c r="D32">
        <f>IF(LEN(B32)&gt;0,CONCATENATE("Xinput_",TEXT(C32,"00"),"_",B32),"")</f>
        <v/>
      </c>
      <c r="L32" t="inlineStr">
        <is>
          <t>Value factor</t>
        </is>
      </c>
      <c r="M32" t="inlineStr">
        <is>
          <t>X</t>
        </is>
      </c>
      <c r="N32" t="inlineStr">
        <is>
          <t>X</t>
        </is>
      </c>
      <c r="O32" t="inlineStr">
        <is>
          <t>X</t>
        </is>
      </c>
      <c r="Q32">
        <f>IF($F$12="North",$AK$393,$AK$420)</f>
        <v/>
      </c>
      <c r="R32">
        <f>IF($F$12="North",$AL$393,$AL$420)</f>
        <v/>
      </c>
      <c r="S32">
        <f>IF($F$12="North",$AM$393,$AM$420)</f>
        <v/>
      </c>
      <c r="V32">
        <f>IF(AND(M32="X",Q32&gt;0),ROUND(PRODUCT(V31,Q32),2),V31)</f>
        <v/>
      </c>
      <c r="W32">
        <f>IF(AND(N32="X",R32&gt;0),ROUND(PRODUCT(W31,R32),2),W31)</f>
        <v/>
      </c>
      <c r="X32">
        <f>IF(AND(O32="X",S32&gt;0),ROUND(PRODUCT(X31,S32),2),X31)</f>
        <v/>
      </c>
      <c r="AA32" t="n">
        <v>3</v>
      </c>
      <c r="AB32" t="n">
        <v>1.273</v>
      </c>
      <c r="AC32" t="n">
        <v>1.254</v>
      </c>
      <c r="AD32" t="n">
        <v>2.48</v>
      </c>
    </row>
    <row r="33">
      <c r="A33" t="inlineStr">
        <is>
          <t>Shelter in place</t>
        </is>
      </c>
      <c r="C33">
        <f>SUM(MAX(C$5:C32),IF(LEN(B33)&gt;0,1,0))</f>
        <v/>
      </c>
      <c r="D33">
        <f>IF(LEN(B33)&gt;0,CONCATENATE("Xinput_",TEXT(C33,"00"),"_",B33),"")</f>
        <v/>
      </c>
      <c r="E33" s="20" t="inlineStr">
        <is>
          <t>Yes</t>
        </is>
      </c>
      <c r="L33" t="inlineStr">
        <is>
          <t>Base deductible factor</t>
        </is>
      </c>
      <c r="O33" t="inlineStr">
        <is>
          <t>X</t>
        </is>
      </c>
      <c r="S33">
        <f>VLOOKUP($E$8,$AA$435:$AK$440,MATCH($E$40,$AA$434:$AK$434,0),TRUE)</f>
        <v/>
      </c>
      <c r="V33">
        <f>IF(AND(M33="X",Q33&gt;0),ROUND(PRODUCT(V32,Q33),2),V32)</f>
        <v/>
      </c>
      <c r="W33">
        <f>IF(AND(N33="X",R33&gt;0),ROUND(PRODUCT(W32,R33),2),W32)</f>
        <v/>
      </c>
      <c r="X33">
        <f>IF(AND(O33="X",S33&gt;0),ROUND(PRODUCT(X32,S33),2),X32)</f>
        <v/>
      </c>
      <c r="AA33" t="n">
        <v>4</v>
      </c>
      <c r="AB33" t="n">
        <v>0.767</v>
      </c>
      <c r="AC33" t="n">
        <v>1.173</v>
      </c>
      <c r="AD33" t="n">
        <v>1.494</v>
      </c>
    </row>
    <row r="34">
      <c r="A34" t="inlineStr">
        <is>
          <t>No combustible exterior</t>
        </is>
      </c>
      <c r="C34">
        <f>SUM(MAX(C$5:C33),IF(LEN(B34)&gt;0,1,0))</f>
        <v/>
      </c>
      <c r="D34">
        <f>IF(LEN(B34)&gt;0,CONCATENATE("Xinput_",TEXT(C34,"00"),"_",B34),"")</f>
        <v/>
      </c>
      <c r="E34" s="20" t="inlineStr">
        <is>
          <t>Yes</t>
        </is>
      </c>
      <c r="L34" t="inlineStr">
        <is>
          <t>Brush fire or wildfire deductible factor</t>
        </is>
      </c>
      <c r="N34" t="inlineStr">
        <is>
          <t>X</t>
        </is>
      </c>
      <c r="R34">
        <f>VLOOKUP($E$8,$AA$459:$AK$465,MATCH($E$41,$AA$458:$AK$458,0),TRUE)</f>
        <v/>
      </c>
      <c r="V34">
        <f>IF(AND(M34="X",Q34&gt;0),ROUND(PRODUCT(V33,Q34),2),V33)</f>
        <v/>
      </c>
      <c r="W34">
        <f>IF(AND(N34="X",R34&gt;0),ROUND(PRODUCT(W33,R34),2),W33)</f>
        <v/>
      </c>
      <c r="X34">
        <f>IF(AND(O34="X",S34&gt;0),ROUND(PRODUCT(X33,S34),2),X33)</f>
        <v/>
      </c>
      <c r="AA34" t="n">
        <v>6</v>
      </c>
      <c r="AB34" t="n">
        <v>1.377</v>
      </c>
      <c r="AC34" t="n">
        <v>1.701</v>
      </c>
      <c r="AD34" t="n">
        <v>2.682</v>
      </c>
    </row>
    <row r="35">
      <c r="A35" t="inlineStr">
        <is>
          <t>Flame/ember resistant vents</t>
        </is>
      </c>
      <c r="C35">
        <f>SUM(MAX(C$5:C34),IF(LEN(B35)&gt;0,1,0))</f>
        <v/>
      </c>
      <c r="D35">
        <f>IF(LEN(B35)&gt;0,CONCATENATE("Xinput_",TEXT(C35,"00"),"_",B35),"")</f>
        <v/>
      </c>
      <c r="E35" s="20" t="inlineStr">
        <is>
          <t>Yes</t>
        </is>
      </c>
      <c r="L35" t="inlineStr">
        <is>
          <t>Wind or hail deductible factor</t>
        </is>
      </c>
      <c r="M35" t="inlineStr">
        <is>
          <t>X</t>
        </is>
      </c>
      <c r="Q35">
        <f>VLOOKUP(E8,$AA$484:$AD$489,MATCH(E42,$AA$483:$AD$483,0),TRUE)</f>
        <v/>
      </c>
      <c r="V35">
        <f>IF(AND(M35="X",Q35&gt;0),ROUND(PRODUCT(V34,Q35),2),V34)</f>
        <v/>
      </c>
      <c r="W35">
        <f>IF(AND(N35="X",R35&gt;0),ROUND(PRODUCT(W34,R35),2),W34)</f>
        <v/>
      </c>
      <c r="X35">
        <f>IF(AND(O35="X",S35&gt;0),ROUND(PRODUCT(X34,S35),2),X34)</f>
        <v/>
      </c>
      <c r="AA35" t="n">
        <v>7</v>
      </c>
      <c r="AB35" t="n">
        <v>1.345</v>
      </c>
      <c r="AC35" t="n">
        <v>1.114</v>
      </c>
      <c r="AD35" t="n">
        <v>2.621</v>
      </c>
    </row>
    <row r="36">
      <c r="A36" t="inlineStr">
        <is>
          <t>Defensible space adjustment</t>
        </is>
      </c>
      <c r="C36">
        <f>SUM(MAX(C$5:C35),IF(LEN(B36)&gt;0,1,0))</f>
        <v/>
      </c>
      <c r="D36">
        <f>IF(LEN(B36)&gt;0,CONCATENATE("Xinput_",TEXT(C36,"00"),"_",B36),"")</f>
        <v/>
      </c>
      <c r="E36" s="20" t="inlineStr">
        <is>
          <t>Superior</t>
        </is>
      </c>
      <c r="L36" t="inlineStr">
        <is>
          <t>New house discount</t>
        </is>
      </c>
      <c r="M36" t="inlineStr">
        <is>
          <t>X</t>
        </is>
      </c>
      <c r="N36" t="inlineStr">
        <is>
          <t>X</t>
        </is>
      </c>
      <c r="O36" t="inlineStr">
        <is>
          <t>X</t>
        </is>
      </c>
      <c r="Q36">
        <f>SUM(1,-VLOOKUP($F$6,$AA$551:$AB$562,2,TRUE))</f>
        <v/>
      </c>
      <c r="R36">
        <f>SUM(1,-VLOOKUP($F$6,$AA$551:$AB$562,2,TRUE))</f>
        <v/>
      </c>
      <c r="S36">
        <f>SUM(1,-VLOOKUP($F$6,$AA$551:$AB$562,2,TRUE))</f>
        <v/>
      </c>
      <c r="V36">
        <f>IF(AND(M36="X",Q36&gt;0),ROUND(PRODUCT(V35,Q36),2),V35)</f>
        <v/>
      </c>
      <c r="W36">
        <f>IF(AND(N36="X",R36&gt;0),ROUND(PRODUCT(W35,R36),2),W35)</f>
        <v/>
      </c>
      <c r="X36">
        <f>IF(AND(O36="X",S36&gt;0),ROUND(PRODUCT(X35,S36),2),X35)</f>
        <v/>
      </c>
      <c r="AA36" t="n">
        <v>8</v>
      </c>
      <c r="AB36" t="n">
        <v>0.929</v>
      </c>
      <c r="AC36" t="n">
        <v>1.089</v>
      </c>
      <c r="AD36" t="n">
        <v>1.811</v>
      </c>
    </row>
    <row r="37">
      <c r="A37" t="inlineStr">
        <is>
          <t>Wildfire suppression system</t>
        </is>
      </c>
      <c r="C37">
        <f>SUM(MAX(C$5:C36),IF(LEN(B37)&gt;0,1,0))</f>
        <v/>
      </c>
      <c r="D37">
        <f>IF(LEN(B37)&gt;0,CONCATENATE("Xinput_",TEXT(C37,"00"),"_",B37),"")</f>
        <v/>
      </c>
      <c r="E37" s="20" t="inlineStr">
        <is>
          <t>Auto retardant</t>
        </is>
      </c>
      <c r="L37" t="inlineStr">
        <is>
          <t>Gated community patrol discount</t>
        </is>
      </c>
      <c r="M37" t="inlineStr">
        <is>
          <t>X</t>
        </is>
      </c>
      <c r="N37" t="inlineStr">
        <is>
          <t>X</t>
        </is>
      </c>
      <c r="O37" t="inlineStr">
        <is>
          <t>X</t>
        </is>
      </c>
      <c r="Q37">
        <f>SUM(1,-IF($E$47=$AO$5,AB501,0))</f>
        <v/>
      </c>
      <c r="R37">
        <f>SUM(1,-IF($E$47=$AO$5,AC501,0))</f>
        <v/>
      </c>
      <c r="S37">
        <f>SUM(1,-IF($E$47=$AO$5,AD501,0))</f>
        <v/>
      </c>
      <c r="V37">
        <f>IF(AND(M37="X",Q37&gt;0),ROUND(PRODUCT(V36,Q37),2),V36)</f>
        <v/>
      </c>
      <c r="W37">
        <f>IF(AND(N37="X",R37&gt;0),ROUND(PRODUCT(W36,R37),2),W36)</f>
        <v/>
      </c>
      <c r="X37">
        <f>IF(AND(O37="X",S37&gt;0),ROUND(PRODUCT(X36,S37),2),X36)</f>
        <v/>
      </c>
      <c r="AA37" t="n">
        <v>10</v>
      </c>
      <c r="AB37" t="n">
        <v>0.929</v>
      </c>
      <c r="AC37" t="n">
        <v>1.249</v>
      </c>
      <c r="AD37" t="n">
        <v>1.811</v>
      </c>
    </row>
    <row r="38">
      <c r="C38">
        <f>SUM(MAX(C$5:C37),IF(LEN(B38)&gt;0,1,0))</f>
        <v/>
      </c>
      <c r="D38">
        <f>IF(LEN(B38)&gt;0,CONCATENATE("Xinput_",TEXT(C38,"00"),"_",B38),"")</f>
        <v/>
      </c>
      <c r="L38" t="inlineStr">
        <is>
          <t>Superior protection discount</t>
        </is>
      </c>
      <c r="M38" t="inlineStr">
        <is>
          <t>X</t>
        </is>
      </c>
      <c r="N38" t="inlineStr">
        <is>
          <t>X</t>
        </is>
      </c>
      <c r="O38" t="inlineStr">
        <is>
          <t>X</t>
        </is>
      </c>
      <c r="Q38">
        <f>SUM(1,-MIN(SUM($F$58:$F$68,0.2),0))</f>
        <v/>
      </c>
      <c r="R38">
        <f>SUM(1,-MIN(SUM($F$58:$F$68,0.2),0))</f>
        <v/>
      </c>
      <c r="S38">
        <f>SUM(1,-MIN(SUM($F$58:$F$68,0.2),0))</f>
        <v/>
      </c>
      <c r="V38">
        <f>IF(AND(M38="X",Q38&gt;0),ROUND(PRODUCT(V37,Q38),2),V37)</f>
        <v/>
      </c>
      <c r="W38">
        <f>IF(AND(N38="X",R38&gt;0),ROUND(PRODUCT(W37,R38),2),W37)</f>
        <v/>
      </c>
      <c r="X38">
        <f>IF(AND(O38="X",S38&gt;0),ROUND(PRODUCT(X37,S38),2),X37)</f>
        <v/>
      </c>
      <c r="AA38" t="n">
        <v>11</v>
      </c>
      <c r="AB38" t="n">
        <v>1.329</v>
      </c>
      <c r="AC38" t="n">
        <v>0.722</v>
      </c>
      <c r="AD38" t="n">
        <v>2.589</v>
      </c>
    </row>
    <row r="39">
      <c r="A39" s="17" t="inlineStr">
        <is>
          <t>Deductible</t>
        </is>
      </c>
      <c r="C39">
        <f>SUM(MAX(C$5:C38),IF(LEN(B39)&gt;0,1,0))</f>
        <v/>
      </c>
      <c r="D39">
        <f>IF(LEN(B39)&gt;0,CONCATENATE("Xinput_",TEXT(C39,"00"),"_",B39),"")</f>
        <v/>
      </c>
      <c r="L39" t="inlineStr">
        <is>
          <t>Building fire protection discount</t>
        </is>
      </c>
      <c r="N39" t="inlineStr">
        <is>
          <t>X</t>
        </is>
      </c>
      <c r="O39" t="inlineStr">
        <is>
          <t>X</t>
        </is>
      </c>
      <c r="V39">
        <f>IF(AND(M39="X",Q39&gt;0),ROUND(PRODUCT(V38,Q39),2),V38)</f>
        <v/>
      </c>
      <c r="W39">
        <f>IF(AND(N39="X",R39&gt;0),ROUND(PRODUCT(W38,R39),2),W38)</f>
        <v/>
      </c>
      <c r="X39">
        <f>IF(AND(O39="X",S39&gt;0),ROUND(PRODUCT(X38,S39),2),X38)</f>
        <v/>
      </c>
      <c r="AA39" t="n">
        <v>17</v>
      </c>
      <c r="AB39" t="n">
        <v>0.963</v>
      </c>
      <c r="AC39" t="n">
        <v>0.885</v>
      </c>
      <c r="AD39" t="n">
        <v>1.875</v>
      </c>
    </row>
    <row r="40">
      <c r="A40" t="inlineStr">
        <is>
          <t>Base deductible factor</t>
        </is>
      </c>
      <c r="B40">
        <f>SUBSTITUTE(SUBSTITUTE(SUBSTITUTE(SUBSTITUTE(A40," ","_"),"-",""),"?",""),",","")</f>
        <v/>
      </c>
      <c r="C40">
        <f>SUM(MAX(C$5:C39),IF(LEN(B40)&gt;0,1,0))</f>
        <v/>
      </c>
      <c r="D40">
        <f>IF(LEN(B40)&gt;0,CONCATENATE("Xinput_",TEXT(C40,"00"),"_",B40),"")</f>
        <v/>
      </c>
      <c r="E40" s="7" t="n">
        <v>1000</v>
      </c>
      <c r="L40" t="inlineStr">
        <is>
          <t>Renovated house discount</t>
        </is>
      </c>
      <c r="O40" t="inlineStr">
        <is>
          <t>X</t>
        </is>
      </c>
      <c r="Q40">
        <f>SUM(1,-VLOOKUP($F$7,$AD$551:$AE$558,2,TRUE))</f>
        <v/>
      </c>
      <c r="R40">
        <f>SUM(1,-VLOOKUP($F$7,$AD$551:$AE$558,2,TRUE))</f>
        <v/>
      </c>
      <c r="S40">
        <f>SUM(1,-VLOOKUP($F$7,$AD$551:$AE$558,2,TRUE))</f>
        <v/>
      </c>
      <c r="V40">
        <f>IF(AND(M40="X",Q40&gt;0),ROUND(PRODUCT(V39,Q40),2),V39)</f>
        <v/>
      </c>
      <c r="W40">
        <f>IF(AND(N40="X",R40&gt;0),ROUND(PRODUCT(W39,R40),2),W39)</f>
        <v/>
      </c>
      <c r="X40">
        <f>IF(AND(O40="X",S40&gt;0),ROUND(PRODUCT(X39,S40),2),X39)</f>
        <v/>
      </c>
      <c r="AA40" t="n">
        <v>18</v>
      </c>
      <c r="AB40" t="n">
        <v>0.899</v>
      </c>
      <c r="AC40" t="n">
        <v>1.894</v>
      </c>
      <c r="AD40" t="n">
        <v>1.752</v>
      </c>
    </row>
    <row r="41">
      <c r="A41" t="inlineStr">
        <is>
          <t>Brush fire or wildfire deductible</t>
        </is>
      </c>
      <c r="C41">
        <f>SUM(MAX(C$5:C40),IF(LEN(B41)&gt;0,1,0))</f>
        <v/>
      </c>
      <c r="D41">
        <f>IF(LEN(B41)&gt;0,CONCATENATE("Xinput_",TEXT(C41,"00"),"_",B41),"")</f>
        <v/>
      </c>
      <c r="E41" s="20" t="n">
        <v>10000</v>
      </c>
      <c r="L41" t="inlineStr">
        <is>
          <t>Gated community discount</t>
        </is>
      </c>
      <c r="O41" t="inlineStr">
        <is>
          <t>X</t>
        </is>
      </c>
      <c r="Q41">
        <f>SUM(1,-IF($E$46=$AO$5,$AD$500,0))</f>
        <v/>
      </c>
      <c r="R41">
        <f>SUM(1,-IF($E$46=$AO$5,$AD$500,0))</f>
        <v/>
      </c>
      <c r="S41">
        <f>SUM(1,-IF($E$46=$AO$5,$AD$500,0))</f>
        <v/>
      </c>
      <c r="V41">
        <f>IF(AND(M41="X",Q41&gt;0),ROUND(PRODUCT(V40,Q41),2),V40)</f>
        <v/>
      </c>
      <c r="W41">
        <f>IF(AND(N41="X",R41&gt;0),ROUND(PRODUCT(W40,R41),2),W40)</f>
        <v/>
      </c>
      <c r="X41">
        <f>IF(AND(O41="X",S41&gt;0),ROUND(PRODUCT(X40,S41),2),X40)</f>
        <v/>
      </c>
      <c r="AA41" t="n">
        <v>20</v>
      </c>
      <c r="AB41" t="n">
        <v>0.899</v>
      </c>
      <c r="AC41" t="n">
        <v>1.009</v>
      </c>
      <c r="AD41" t="n">
        <v>1.752</v>
      </c>
    </row>
    <row r="42">
      <c r="A42" t="inlineStr">
        <is>
          <t>Wind or hail deductible</t>
        </is>
      </c>
      <c r="C42">
        <f>SUM(MAX(C$5:C41),IF(LEN(B42)&gt;0,1,0))</f>
        <v/>
      </c>
      <c r="D42">
        <f>IF(LEN(B42)&gt;0,CONCATENATE("Xinput_",TEXT(C42,"00"),"_",B42),"")</f>
        <v/>
      </c>
      <c r="E42" s="20" t="n">
        <v>0.005</v>
      </c>
      <c r="L42" t="inlineStr">
        <is>
          <t>Building security protection discount</t>
        </is>
      </c>
      <c r="O42" t="inlineStr">
        <is>
          <t>X</t>
        </is>
      </c>
      <c r="V42">
        <f>IF(AND(M42="X",Q42&gt;0),ROUND(PRODUCT(V41,Q42),2),V41)</f>
        <v/>
      </c>
      <c r="W42">
        <f>IF(AND(N42="X",R42&gt;0),ROUND(PRODUCT(W41,R42),2),W41)</f>
        <v/>
      </c>
      <c r="X42">
        <f>IF(AND(O42="X",S42&gt;0),ROUND(PRODUCT(X41,S42),2),X41)</f>
        <v/>
      </c>
      <c r="AA42" t="n">
        <v>21</v>
      </c>
      <c r="AB42" t="n">
        <v>1.068</v>
      </c>
      <c r="AC42" t="n">
        <v>2.154</v>
      </c>
      <c r="AD42" t="n">
        <v>0.8129999999999999</v>
      </c>
    </row>
    <row r="43">
      <c r="C43">
        <f>SUM(MAX(C$5:C42),IF(LEN(B43)&gt;0,1,0))</f>
        <v/>
      </c>
      <c r="D43">
        <f>IF(LEN(B43)&gt;0,CONCATENATE("Xinput_",TEXT(C43,"00"),"_",B43),"")</f>
        <v/>
      </c>
      <c r="L43" t="inlineStr">
        <is>
          <t>Rented to others surcharge</t>
        </is>
      </c>
      <c r="O43" t="inlineStr">
        <is>
          <t>X</t>
        </is>
      </c>
      <c r="S43">
        <f>SUM(1,IF($E$73=$AO$5,$AD$583,0))</f>
        <v/>
      </c>
      <c r="V43">
        <f>IF(AND(M43="X",Q43&gt;0),ROUND(PRODUCT(V42,Q43),2),V42)</f>
        <v/>
      </c>
      <c r="W43">
        <f>IF(AND(N43="X",R43&gt;0),ROUND(PRODUCT(W42,R43),2),W42)</f>
        <v/>
      </c>
      <c r="X43">
        <f>IF(AND(O43="X",S43&gt;0),ROUND(PRODUCT(X42,S43),2),X42)</f>
        <v/>
      </c>
      <c r="AA43" t="n">
        <v>22</v>
      </c>
      <c r="AB43" t="n">
        <v>0.636</v>
      </c>
      <c r="AC43" t="n">
        <v>1.369</v>
      </c>
      <c r="AD43" t="n">
        <v>1.154</v>
      </c>
    </row>
    <row r="44">
      <c r="A44" s="17" t="inlineStr">
        <is>
          <t>Discounts and surcharges</t>
        </is>
      </c>
      <c r="C44">
        <f>SUM(MAX(C$5:C43),IF(LEN(B44)&gt;0,1,0))</f>
        <v/>
      </c>
      <c r="D44">
        <f>IF(LEN(B44)&gt;0,CONCATENATE("Xinput_",TEXT(C44,"00"),"_",B44),"")</f>
        <v/>
      </c>
      <c r="L44" t="inlineStr">
        <is>
          <t>Portfolio discounts</t>
        </is>
      </c>
      <c r="M44" t="inlineStr">
        <is>
          <t>X</t>
        </is>
      </c>
      <c r="N44" t="inlineStr">
        <is>
          <t>X</t>
        </is>
      </c>
      <c r="O44" t="inlineStr">
        <is>
          <t>X</t>
        </is>
      </c>
      <c r="Q44">
        <f>SUM(1,-VLOOKUP($E$53,$AF$523:$AG$526,2,FALSE))</f>
        <v/>
      </c>
      <c r="R44">
        <f>SUM(1,-VLOOKUP($E$53,$AF$523:$AG$526,2,FALSE))</f>
        <v/>
      </c>
      <c r="S44">
        <f>SUM(1,-VLOOKUP($E$53,$AF$523:$AG$526,2,FALSE))</f>
        <v/>
      </c>
      <c r="V44">
        <f>IF(AND(M44="X",Q44&gt;0),ROUND(PRODUCT(V43,Q44),2),V43)</f>
        <v/>
      </c>
      <c r="W44">
        <f>IF(AND(N44="X",R44&gt;0),ROUND(PRODUCT(W43,R44),2),W43)</f>
        <v/>
      </c>
      <c r="X44">
        <f>IF(AND(O44="X",S44&gt;0),ROUND(PRODUCT(X43,S44),2),X43)</f>
        <v/>
      </c>
      <c r="AA44" t="n">
        <v>24</v>
      </c>
      <c r="AB44" t="n">
        <v>1.17</v>
      </c>
      <c r="AC44" t="n">
        <v>1.778</v>
      </c>
      <c r="AD44" t="n">
        <v>0.89</v>
      </c>
    </row>
    <row r="45">
      <c r="A45" t="inlineStr">
        <is>
          <t>Burglar alarm</t>
        </is>
      </c>
      <c r="B45">
        <f>SUBSTITUTE(SUBSTITUTE(SUBSTITUTE(SUBSTITUTE(A45," ","_"),"-",""),"?",""),",","")</f>
        <v/>
      </c>
      <c r="C45">
        <f>SUM(MAX(C$5:C44),IF(LEN(B45)&gt;0,1,0))</f>
        <v/>
      </c>
      <c r="D45">
        <f>IF(LEN(B45)&gt;0,CONCATENATE("Xinput_",TEXT(C45,"00"),"_",B45),"")</f>
        <v/>
      </c>
      <c r="E45" s="7" t="inlineStr">
        <is>
          <t>Yes</t>
        </is>
      </c>
      <c r="L45" t="inlineStr">
        <is>
          <t>Premier client discount</t>
        </is>
      </c>
      <c r="M45" t="inlineStr">
        <is>
          <t>X</t>
        </is>
      </c>
      <c r="N45" t="inlineStr">
        <is>
          <t>X</t>
        </is>
      </c>
      <c r="O45" t="inlineStr">
        <is>
          <t>X</t>
        </is>
      </c>
      <c r="Q45">
        <f>SUM(1,-IF($E$54&lt;3,VLOOKUP($E$54,$AA$567:$AB$576,2,TRUE),VLOOKUP($E$55,$AD$567:$AE$576,2,TRUE)))</f>
        <v/>
      </c>
      <c r="R45">
        <f>SUM(1,-IF($E$54&lt;3,VLOOKUP($E$54,$AA$567:$AB$576,2,TRUE),VLOOKUP($E$55,$AD$567:$AE$576,2,TRUE)))</f>
        <v/>
      </c>
      <c r="S45">
        <f>SUM(1,-IF($E$54&lt;3,VLOOKUP($E$54,$AA$567:$AB$576,2,TRUE),VLOOKUP($E$55,$AD$567:$AE$576,2,TRUE)))</f>
        <v/>
      </c>
      <c r="V45">
        <f>IF(AND(M45="X",Q45&gt;0),ROUND(PRODUCT(V44,Q45),2),V44)</f>
        <v/>
      </c>
      <c r="W45">
        <f>IF(AND(N45="X",R45&gt;0),ROUND(PRODUCT(W44,R45),2),W44)</f>
        <v/>
      </c>
      <c r="X45">
        <f>IF(AND(O45="X",S45&gt;0),ROUND(PRODUCT(X44,S45),2),X44)</f>
        <v/>
      </c>
      <c r="AA45" t="n">
        <v>25</v>
      </c>
      <c r="AB45" t="n">
        <v>1.018</v>
      </c>
      <c r="AC45" t="n">
        <v>1.711</v>
      </c>
      <c r="AD45" t="n">
        <v>0.774</v>
      </c>
    </row>
    <row r="46">
      <c r="A46" t="inlineStr">
        <is>
          <t>Gated community</t>
        </is>
      </c>
      <c r="C46">
        <f>SUM(MAX(C$5:C45),IF(LEN(B46)&gt;0,1,0))</f>
        <v/>
      </c>
      <c r="D46">
        <f>IF(LEN(B46)&gt;0,CONCATENATE("Xinput_",TEXT(C46,"00"),"_",B46),"")</f>
        <v/>
      </c>
      <c r="E46" s="20" t="inlineStr">
        <is>
          <t>No</t>
        </is>
      </c>
      <c r="L46" t="inlineStr">
        <is>
          <t>Claims rating factor</t>
        </is>
      </c>
      <c r="M46" t="inlineStr">
        <is>
          <t>X</t>
        </is>
      </c>
      <c r="N46" t="inlineStr">
        <is>
          <t>X</t>
        </is>
      </c>
      <c r="O46" t="inlineStr">
        <is>
          <t>X</t>
        </is>
      </c>
      <c r="Q46">
        <f>SUM(1,VLOOKUP($E$8,$AI$632:$AJ$634,2,TRUE))</f>
        <v/>
      </c>
      <c r="R46">
        <f>SUM(1,VLOOKUP($E$8,$AI$632:$AJ$634,2,TRUE))</f>
        <v/>
      </c>
      <c r="S46">
        <f>SUM(1,VLOOKUP($E$8,$AI$632:$AJ$634,2,TRUE))</f>
        <v/>
      </c>
      <c r="V46">
        <f>IF(AND(M46="X",Q46&gt;0),ROUND(PRODUCT(V45,Q46),2),V45)</f>
        <v/>
      </c>
      <c r="W46">
        <f>IF(AND(N46="X",R46&gt;0),ROUND(PRODUCT(W45,R46),2),W45)</f>
        <v/>
      </c>
      <c r="X46">
        <f>IF(AND(O46="X",S46&gt;0),ROUND(PRODUCT(X45,S46),2),X45)</f>
        <v/>
      </c>
      <c r="AA46" t="n">
        <v>26</v>
      </c>
      <c r="AB46" t="n">
        <v>1.082</v>
      </c>
      <c r="AC46" t="n">
        <v>1.153</v>
      </c>
      <c r="AD46" t="n">
        <v>1.052</v>
      </c>
    </row>
    <row r="47">
      <c r="A47" t="inlineStr">
        <is>
          <t>Gated community patrol service</t>
        </is>
      </c>
      <c r="C47">
        <f>SUM(MAX(C$5:C46),IF(LEN(B47)&gt;0,1,0))</f>
        <v/>
      </c>
      <c r="D47">
        <f>IF(LEN(B47)&gt;0,CONCATENATE("Xinput_",TEXT(C47,"00"),"_",B47),"")</f>
        <v/>
      </c>
      <c r="E47" s="20" t="inlineStr">
        <is>
          <t>No</t>
        </is>
      </c>
      <c r="L47" t="inlineStr">
        <is>
          <t>Renovation/construction surcharge</t>
        </is>
      </c>
      <c r="M47" t="inlineStr">
        <is>
          <t>X</t>
        </is>
      </c>
      <c r="N47" t="inlineStr">
        <is>
          <t>X</t>
        </is>
      </c>
      <c r="O47" t="inlineStr">
        <is>
          <t>X</t>
        </is>
      </c>
      <c r="Q47">
        <f>SUM(1,VLOOKUP($E$75,$AI$585:$AL$587,2,FALSE))</f>
        <v/>
      </c>
      <c r="R47">
        <f>SUM(1,VLOOKUP($E$75,$AI$585:$AL$587,3,FALSE))</f>
        <v/>
      </c>
      <c r="S47">
        <f>SUM(1,VLOOKUP($E$75,$AI$585:$AL$587,4,FALSE))</f>
        <v/>
      </c>
      <c r="V47">
        <f>IF(AND(M47="X",Q47&gt;0),ROUND(PRODUCT(V46,Q47),2),V46)</f>
        <v/>
      </c>
      <c r="W47">
        <f>IF(AND(N47="X",R47&gt;0),ROUND(PRODUCT(W46,R47),2),W46)</f>
        <v/>
      </c>
      <c r="X47">
        <f>IF(AND(O47="X",S47&gt;0),ROUND(PRODUCT(X46,S47),2),X46)</f>
        <v/>
      </c>
      <c r="AA47" t="n">
        <v>28</v>
      </c>
      <c r="AB47" t="n">
        <v>0.975</v>
      </c>
      <c r="AC47" t="n">
        <v>0.652</v>
      </c>
      <c r="AD47" t="n">
        <v>1.046</v>
      </c>
    </row>
    <row r="48">
      <c r="A48" t="inlineStr">
        <is>
          <t>Residential sprinkler system</t>
        </is>
      </c>
      <c r="C48">
        <f>SUM(MAX(C$5:C47),IF(LEN(B48)&gt;0,1,0))</f>
        <v/>
      </c>
      <c r="D48">
        <f>IF(LEN(B48)&gt;0,CONCATENATE("Xinput_",TEXT(C48,"00"),"_",B48),"")</f>
        <v/>
      </c>
      <c r="E48" s="20" t="inlineStr">
        <is>
          <t>No</t>
        </is>
      </c>
      <c r="L48" t="inlineStr">
        <is>
          <t>Undervalue surcharge</t>
        </is>
      </c>
      <c r="M48" t="inlineStr">
        <is>
          <t>X</t>
        </is>
      </c>
      <c r="N48" t="inlineStr">
        <is>
          <t>X</t>
        </is>
      </c>
      <c r="O48" t="inlineStr">
        <is>
          <t>X</t>
        </is>
      </c>
      <c r="Q48">
        <f>SUM(1,IF($E74=$AO$5,AB584,0))</f>
        <v/>
      </c>
      <c r="R48">
        <f>SUM(1,IF($E74=$AO$5,AC584,0))</f>
        <v/>
      </c>
      <c r="S48">
        <f>SUM(1,IF($E74=$AO$5,AD584,0))</f>
        <v/>
      </c>
      <c r="V48">
        <f>IF(AND(M48="X",Q48&gt;0),ROUND(PRODUCT(V47,Q48),2),V47)</f>
        <v/>
      </c>
      <c r="W48">
        <f>IF(AND(N48="X",R48&gt;0),ROUND(PRODUCT(W47,R48),2),W47)</f>
        <v/>
      </c>
      <c r="X48">
        <f>IF(AND(O48="X",S48&gt;0),ROUND(PRODUCT(X47,S48),2),X47)</f>
        <v/>
      </c>
      <c r="AA48" t="n">
        <v>30</v>
      </c>
      <c r="AB48" t="n">
        <v>1.082</v>
      </c>
      <c r="AC48" t="n">
        <v>1.116</v>
      </c>
      <c r="AD48" t="n">
        <v>1.052</v>
      </c>
    </row>
    <row r="49">
      <c r="A49" t="inlineStr">
        <is>
          <t>Fire resistive</t>
        </is>
      </c>
      <c r="C49">
        <f>SUM(MAX(C$5:C48),IF(LEN(B49)&gt;0,1,0))</f>
        <v/>
      </c>
      <c r="D49">
        <f>IF(LEN(B49)&gt;0,CONCATENATE("Xinput_",TEXT(C49,"00"),"_",B49),"")</f>
        <v/>
      </c>
      <c r="E49" s="20" t="inlineStr">
        <is>
          <t>No</t>
        </is>
      </c>
      <c r="L49" t="inlineStr">
        <is>
          <t>Vacant house surcharge</t>
        </is>
      </c>
      <c r="M49" t="inlineStr">
        <is>
          <t>X</t>
        </is>
      </c>
      <c r="N49" t="inlineStr">
        <is>
          <t>X</t>
        </is>
      </c>
      <c r="O49" t="inlineStr">
        <is>
          <t>X</t>
        </is>
      </c>
      <c r="Q49">
        <f>SUM(1,IF($E76=$AO$5,AB588,0))</f>
        <v/>
      </c>
      <c r="R49">
        <f>SUM(1,IF($E76=$AO$5,AC588,0))</f>
        <v/>
      </c>
      <c r="S49">
        <f>SUM(1,IF($E76=$AO$5,AD588,0))</f>
        <v/>
      </c>
      <c r="V49">
        <f>IF(AND(M49="X",Q49&gt;0),ROUND(PRODUCT(V48,Q49),2),V48)</f>
        <v/>
      </c>
      <c r="W49">
        <f>IF(AND(N49="X",R49&gt;0),ROUND(PRODUCT(W48,R49),2),W48)</f>
        <v/>
      </c>
      <c r="X49">
        <f>IF(AND(O49="X",S49&gt;0),ROUND(PRODUCT(X48,S49),2),X48)</f>
        <v/>
      </c>
      <c r="AA49" t="n">
        <v>31</v>
      </c>
      <c r="AB49" t="n">
        <v>1.068</v>
      </c>
      <c r="AC49" t="n">
        <v>1.868</v>
      </c>
      <c r="AD49" t="n">
        <v>0.8129999999999999</v>
      </c>
    </row>
    <row r="50">
      <c r="A50" t="inlineStr">
        <is>
          <t>Suburban rating</t>
        </is>
      </c>
      <c r="C50">
        <f>SUM(MAX(C$5:C49),IF(LEN(B50)&gt;0,1,0))</f>
        <v/>
      </c>
      <c r="D50">
        <f>IF(LEN(B50)&gt;0,CONCATENATE("Xinput_",TEXT(C50,"00"),"_",B50),"")</f>
        <v/>
      </c>
      <c r="E50" s="20" t="inlineStr">
        <is>
          <t>No</t>
        </is>
      </c>
      <c r="L50" t="inlineStr">
        <is>
          <t>Lien free discount</t>
        </is>
      </c>
      <c r="M50" t="inlineStr">
        <is>
          <t>X</t>
        </is>
      </c>
      <c r="O50" t="inlineStr">
        <is>
          <t>X</t>
        </is>
      </c>
      <c r="Q50">
        <f>SUM(1,IF($E52=$AO$5,AB508,0))</f>
        <v/>
      </c>
      <c r="S50">
        <f>SUM(1,IF($E52=$AO$5,AD508,0))</f>
        <v/>
      </c>
      <c r="V50">
        <f>IF(AND(M50="X",Q50&gt;0),ROUND(PRODUCT(V49,Q50),2),V49)</f>
        <v/>
      </c>
      <c r="W50">
        <f>IF(AND(N50="X",R50&gt;0),ROUND(PRODUCT(W49,R50),2),W49)</f>
        <v/>
      </c>
      <c r="X50">
        <f>IF(AND(O50="X",S50&gt;0),ROUND(PRODUCT(X49,S50),2),X49)</f>
        <v/>
      </c>
      <c r="AA50" t="n">
        <v>32</v>
      </c>
      <c r="AB50" t="n">
        <v>1.068</v>
      </c>
      <c r="AC50" t="n">
        <v>2.221</v>
      </c>
      <c r="AD50" t="n">
        <v>0.8129999999999999</v>
      </c>
    </row>
    <row r="51">
      <c r="A51" t="inlineStr">
        <is>
          <t>Payment history</t>
        </is>
      </c>
      <c r="C51">
        <f>SUM(MAX(C$5:C50),IF(LEN(B51)&gt;0,1,0))</f>
        <v/>
      </c>
      <c r="D51">
        <f>IF(LEN(B51)&gt;0,CONCATENATE("Xinput_",TEXT(C51,"00"),"_",B51),"")</f>
        <v/>
      </c>
      <c r="E51" s="20" t="inlineStr">
        <is>
          <t>None</t>
        </is>
      </c>
      <c r="L51" t="inlineStr">
        <is>
          <t>Payment history discount</t>
        </is>
      </c>
      <c r="M51" t="inlineStr">
        <is>
          <t>X</t>
        </is>
      </c>
      <c r="N51" t="inlineStr">
        <is>
          <t>X</t>
        </is>
      </c>
      <c r="O51" t="inlineStr">
        <is>
          <t>X</t>
        </is>
      </c>
      <c r="Q51">
        <f>SUM(1,-VLOOKUP($E$51,$AF$505:$AI$507,2,FALSE))</f>
        <v/>
      </c>
      <c r="R51">
        <f>SUM(1,-VLOOKUP($E$51,$AF$505:$AI$507,3,FALSE))</f>
        <v/>
      </c>
      <c r="S51">
        <f>SUM(1,-VLOOKUP($E$51,$AF$505:$AI$507,4,FALSE))</f>
        <v/>
      </c>
      <c r="V51">
        <f>IF(AND(M51="X",Q51&gt;0),ROUND(PRODUCT(V50,Q51),2),V50)</f>
        <v/>
      </c>
      <c r="W51">
        <f>IF(AND(N51="X",R51&gt;0),ROUND(PRODUCT(W50,R51),2),W50)</f>
        <v/>
      </c>
      <c r="X51">
        <f>IF(AND(O51="X",S51&gt;0),ROUND(PRODUCT(X50,S51),2),X50)</f>
        <v/>
      </c>
      <c r="AA51" t="n">
        <v>34</v>
      </c>
      <c r="AB51" t="n">
        <v>0.671</v>
      </c>
      <c r="AC51" t="n">
        <v>1.641</v>
      </c>
      <c r="AD51" t="n">
        <v>1.218</v>
      </c>
    </row>
    <row r="52">
      <c r="A52" t="inlineStr">
        <is>
          <t>Lien free</t>
        </is>
      </c>
      <c r="B52">
        <f>SUBSTITUTE(SUBSTITUTE(SUBSTITUTE(SUBSTITUTE(A52," ","_"),"-",""),"?",""),",","")</f>
        <v/>
      </c>
      <c r="C52">
        <f>SUM(MAX(C$5:C51),IF(LEN(B52)&gt;0,1,0))</f>
        <v/>
      </c>
      <c r="D52">
        <f>IF(LEN(B52)&gt;0,CONCATENATE("Xinput_",TEXT(C52,"00"),"_",B52),"")</f>
        <v/>
      </c>
      <c r="E52" s="7" t="inlineStr">
        <is>
          <t>Yes</t>
        </is>
      </c>
      <c r="L52" t="inlineStr">
        <is>
          <t>Cancellation surcharge</t>
        </is>
      </c>
      <c r="M52" t="inlineStr">
        <is>
          <t>X</t>
        </is>
      </c>
      <c r="N52" t="inlineStr">
        <is>
          <t>X</t>
        </is>
      </c>
      <c r="O52" t="inlineStr">
        <is>
          <t>X</t>
        </is>
      </c>
      <c r="Q52">
        <f>SUM(1,IF($E71=$AO$5,AB581,0))</f>
        <v/>
      </c>
      <c r="R52">
        <f>SUM(1,IF($E71=$AO$5,AC581,0))</f>
        <v/>
      </c>
      <c r="S52">
        <f>SUM(1,IF($E71=$AO$5,AD581,0))</f>
        <v/>
      </c>
      <c r="V52">
        <f>IF(AND(M52="X",Q52&gt;0),ROUND(PRODUCT(V51,Q52),2),V51)</f>
        <v/>
      </c>
      <c r="W52">
        <f>IF(AND(N52="X",R52&gt;0),ROUND(PRODUCT(W51,R52),2),W51)</f>
        <v/>
      </c>
      <c r="X52">
        <f>IF(AND(O52="X",S52&gt;0),ROUND(PRODUCT(X51,S52),2),X51)</f>
        <v/>
      </c>
      <c r="AA52" t="n">
        <v>36</v>
      </c>
      <c r="AB52" t="n">
        <v>1.122</v>
      </c>
      <c r="AC52" t="n">
        <v>1.334</v>
      </c>
      <c r="AD52" t="n">
        <v>0.854</v>
      </c>
    </row>
    <row r="53">
      <c r="A53" t="inlineStr">
        <is>
          <t>Portfolio discount</t>
        </is>
      </c>
      <c r="C53">
        <f>SUM(MAX(C$5:C52),IF(LEN(B53)&gt;0,1,0))</f>
        <v/>
      </c>
      <c r="D53">
        <f>IF(LEN(B53)&gt;0,CONCATENATE("Xinput_",TEXT(C53,"00"),"_",B53),"")</f>
        <v/>
      </c>
      <c r="E53" s="20" t="inlineStr">
        <is>
          <t>Home with valuables at least $100000</t>
        </is>
      </c>
      <c r="L53" t="inlineStr">
        <is>
          <t>Adjusted premium</t>
        </is>
      </c>
      <c r="V53">
        <f>ROUND(V52,0)</f>
        <v/>
      </c>
      <c r="W53">
        <f>ROUND(W52,0)</f>
        <v/>
      </c>
      <c r="X53">
        <f>ROUND(X52,0)</f>
        <v/>
      </c>
      <c r="Y53">
        <f>ROUND(SUM(ROUND(SUM(V53,W53),0),X53),0)</f>
        <v/>
      </c>
      <c r="AA53" t="n">
        <v>38</v>
      </c>
      <c r="AB53" t="n">
        <v>1.122</v>
      </c>
      <c r="AC53" t="n">
        <v>1.345</v>
      </c>
      <c r="AD53" t="n">
        <v>0.854</v>
      </c>
    </row>
    <row r="54">
      <c r="A54" t="inlineStr">
        <is>
          <t>Customer Tenure</t>
        </is>
      </c>
      <c r="C54">
        <f>SUM(MAX(C$5:C53),IF(LEN(B54)&gt;0,1,0))</f>
        <v/>
      </c>
      <c r="D54">
        <f>IF(LEN(B54)&gt;0,CONCATENATE("Xinput_",TEXT(C54,"00"),"_",B54),"")</f>
        <v/>
      </c>
      <c r="E54" s="20" t="n">
        <v>3</v>
      </c>
      <c r="AA54" t="n">
        <v>39</v>
      </c>
      <c r="AB54" t="n">
        <v>1.222</v>
      </c>
      <c r="AC54" t="n">
        <v>1.184</v>
      </c>
      <c r="AD54" t="n">
        <v>1.052</v>
      </c>
    </row>
    <row r="55">
      <c r="A55" t="inlineStr">
        <is>
          <t>Risk Tenure</t>
        </is>
      </c>
      <c r="C55">
        <f>SUM(MAX(C$5:C54),IF(LEN(B55)&gt;0,1,0))</f>
        <v/>
      </c>
      <c r="D55">
        <f>IF(LEN(B55)&gt;0,CONCATENATE("Xinput_",TEXT(C55,"00"),"_",B55),"")</f>
        <v/>
      </c>
      <c r="E55" s="20" t="n">
        <v>3</v>
      </c>
      <c r="L55" t="inlineStr">
        <is>
          <t>Add or subtract for Liability</t>
        </is>
      </c>
      <c r="T55">
        <f>ROUND(VLOOKUP(E79,$AA$682:$AB$691,2,FALSE),0)</f>
        <v/>
      </c>
      <c r="Y55">
        <f>ROUND(SUM(Y53,T55),0)</f>
        <v/>
      </c>
      <c r="AA55" t="n">
        <v>40</v>
      </c>
      <c r="AB55" t="n">
        <v>1.222</v>
      </c>
      <c r="AC55" t="n">
        <v>1.8</v>
      </c>
      <c r="AD55" t="n">
        <v>1.052</v>
      </c>
    </row>
    <row r="56">
      <c r="C56">
        <f>SUM(MAX(C$5:C55),IF(LEN(B56)&gt;0,1,0))</f>
        <v/>
      </c>
      <c r="D56">
        <f>IF(LEN(B56)&gt;0,CONCATENATE("Xinput_",TEXT(C56,"00"),"_",B56),"")</f>
        <v/>
      </c>
      <c r="L56" t="inlineStr">
        <is>
          <t>Add Earthquake coverage</t>
        </is>
      </c>
      <c r="T56" t="n">
        <v>0</v>
      </c>
      <c r="Y56">
        <f>ROUND(SUM(Y55,T56),0)</f>
        <v/>
      </c>
      <c r="AA56" t="n">
        <v>51</v>
      </c>
      <c r="AB56" t="n">
        <v>1.236</v>
      </c>
      <c r="AC56" t="n">
        <v>0.111</v>
      </c>
      <c r="AD56" t="n">
        <v>1.983</v>
      </c>
    </row>
    <row r="57">
      <c r="A57" s="16" t="inlineStr">
        <is>
          <t>Superior protection discounts</t>
        </is>
      </c>
      <c r="C57">
        <f>SUM(MAX(C$5:C56),IF(LEN(B57)&gt;0,1,0))</f>
        <v/>
      </c>
      <c r="D57">
        <f>IF(LEN(B57)&gt;0,CONCATENATE("Xinput_",TEXT(C57,"00"),"_",B57),"")</f>
        <v/>
      </c>
      <c r="F57" t="inlineStr">
        <is>
          <t>Discounts</t>
        </is>
      </c>
      <c r="L57" t="inlineStr">
        <is>
          <t>Add Employment practices liability</t>
        </is>
      </c>
      <c r="T57">
        <f>ROUND(VLOOKUP(E88,$AA$707:$AF$709,6,FALSE),0)</f>
        <v/>
      </c>
      <c r="Y57">
        <f>ROUND(SUM(Y56,T57),0)</f>
        <v/>
      </c>
      <c r="AA57" t="n">
        <v>55</v>
      </c>
      <c r="AB57" t="n">
        <v>1.305</v>
      </c>
      <c r="AC57" t="n">
        <v>0.8179999999999999</v>
      </c>
      <c r="AD57" t="n">
        <v>1.4</v>
      </c>
    </row>
    <row r="58">
      <c r="A58" t="inlineStr">
        <is>
          <t>Security protection</t>
        </is>
      </c>
      <c r="B58">
        <f>SUBSTITUTE(SUBSTITUTE(SUBSTITUTE(SUBSTITUTE(A58," ","_"),"-",""),"?",""),",","")</f>
        <v/>
      </c>
      <c r="C58">
        <f>SUM(MAX(C$5:C57),IF(LEN(B58)&gt;0,1,0))</f>
        <v/>
      </c>
      <c r="D58">
        <f>IF(LEN(B58)&gt;0,CONCATENATE("Xinput_",TEXT(C58,"00"),"_",B58),"")</f>
        <v/>
      </c>
      <c r="E58" s="7" t="inlineStr">
        <is>
          <t>Yes</t>
        </is>
      </c>
      <c r="F58">
        <f>IF(E58=$AO$5,AB531,0)</f>
        <v/>
      </c>
      <c r="L58" t="inlineStr">
        <is>
          <t>Add Family protection coverage</t>
        </is>
      </c>
      <c r="T58">
        <f>ROUND(IF($E$90=$AO$5,AA712,0),0)</f>
        <v/>
      </c>
      <c r="Y58">
        <f>ROUND(SUM(Y57,T58),0)</f>
        <v/>
      </c>
      <c r="AA58" t="n">
        <v>58</v>
      </c>
      <c r="AB58" t="n">
        <v>0.837</v>
      </c>
      <c r="AC58" t="n">
        <v>2.452</v>
      </c>
      <c r="AD58" t="n">
        <v>1.519</v>
      </c>
    </row>
    <row r="59">
      <c r="A59" t="inlineStr">
        <is>
          <t>Full time caretaker</t>
        </is>
      </c>
      <c r="C59">
        <f>SUM(MAX(C$5:C58),IF(LEN(B59)&gt;0,1,0))</f>
        <v/>
      </c>
      <c r="D59">
        <f>IF(LEN(B59)&gt;0,CONCATENATE("Xinput_",TEXT(C59,"00"),"_",B59),"")</f>
        <v/>
      </c>
      <c r="E59" s="20" t="inlineStr">
        <is>
          <t>No</t>
        </is>
      </c>
      <c r="F59">
        <f>IF(E59=$AO$5,AB532,0)</f>
        <v/>
      </c>
      <c r="L59" t="inlineStr">
        <is>
          <t>Add Increased Homeowner/Unit assessments</t>
        </is>
      </c>
      <c r="T59">
        <f>ROUND(CEILING(MAX(E92-AB716,0)/AA716,1)*AC716,0)</f>
        <v/>
      </c>
      <c r="Y59">
        <f>ROUND(SUM(Y58,T59),0)</f>
        <v/>
      </c>
      <c r="AA59" t="n">
        <v>67</v>
      </c>
      <c r="AB59" t="n">
        <v>0.531</v>
      </c>
      <c r="AC59" t="n">
        <v>1.571</v>
      </c>
      <c r="AD59" t="n">
        <v>0.964</v>
      </c>
    </row>
    <row r="60">
      <c r="A60" t="inlineStr">
        <is>
          <t>Signal continuity protection</t>
        </is>
      </c>
      <c r="C60">
        <f>SUM(MAX(C$5:C59),IF(LEN(B60)&gt;0,1,0))</f>
        <v/>
      </c>
      <c r="D60">
        <f>IF(LEN(B60)&gt;0,CONCATENATE("Xinput_",TEXT(C60,"00"),"_",B60),"")</f>
        <v/>
      </c>
      <c r="E60" s="20" t="inlineStr">
        <is>
          <t>No</t>
        </is>
      </c>
      <c r="F60">
        <f>IF(E60=$AO$5,AB533,0)</f>
        <v/>
      </c>
      <c r="L60" t="inlineStr">
        <is>
          <t>Add Increased Landscaping</t>
        </is>
      </c>
      <c r="T60">
        <f>ROUND(SUM(AI719:AI722),0)</f>
        <v/>
      </c>
      <c r="Y60">
        <f>ROUND(SUM(Y59,T60),0)</f>
        <v/>
      </c>
      <c r="AA60" t="n">
        <v>69</v>
      </c>
      <c r="AB60" t="n">
        <v>0.795</v>
      </c>
      <c r="AC60" t="n">
        <v>1.727</v>
      </c>
      <c r="AD60" t="n">
        <v>1.443</v>
      </c>
    </row>
    <row r="61">
      <c r="A61" t="inlineStr">
        <is>
          <t>Perimeter gate</t>
        </is>
      </c>
      <c r="C61">
        <f>SUM(MAX(C$5:C60),IF(LEN(B61)&gt;0,1,0))</f>
        <v/>
      </c>
      <c r="D61">
        <f>IF(LEN(B61)&gt;0,CONCATENATE("Xinput_",TEXT(C61,"00"),"_",B61),"")</f>
        <v/>
      </c>
      <c r="E61" s="20" t="inlineStr">
        <is>
          <t>No</t>
        </is>
      </c>
      <c r="F61">
        <f>IF(E61=$AO$5,AB534,0)</f>
        <v/>
      </c>
      <c r="L61" t="inlineStr">
        <is>
          <t>Add Increased business property</t>
        </is>
      </c>
      <c r="T61">
        <f>ROUND(CEILING(MAX(E100-AB735,0)/AA735,1)*AC735,0)</f>
        <v/>
      </c>
      <c r="Y61">
        <f>ROUND(SUM(Y60,T61),0)</f>
        <v/>
      </c>
      <c r="AA61" t="n">
        <v>70</v>
      </c>
      <c r="AB61" t="n">
        <v>0.797</v>
      </c>
      <c r="AC61" t="n">
        <v>1.972</v>
      </c>
      <c r="AD61" t="n">
        <v>1.445</v>
      </c>
    </row>
    <row r="62">
      <c r="A62" t="inlineStr">
        <is>
          <t>Sprinkler system water flow alarm</t>
        </is>
      </c>
      <c r="C62">
        <f>SUM(MAX(C$5:C61),IF(LEN(B62)&gt;0,1,0))</f>
        <v/>
      </c>
      <c r="D62">
        <f>IF(LEN(B62)&gt;0,CONCATENATE("Xinput_",TEXT(C62,"00"),"_",B62),"")</f>
        <v/>
      </c>
      <c r="E62" s="20" t="inlineStr">
        <is>
          <t>No</t>
        </is>
      </c>
      <c r="F62">
        <f>IF(E62=$AO$5,AB535,0)</f>
        <v/>
      </c>
      <c r="L62" t="inlineStr">
        <is>
          <t>Add Student additional living expense</t>
        </is>
      </c>
      <c r="T62">
        <f>ROUND(IF(E102&gt;0,AB739)+CEILING(MAX(E102-AA739,0),1)/AC739*AD739,0)</f>
        <v/>
      </c>
      <c r="Y62">
        <f>ROUND(SUM(Y61,T62),0)</f>
        <v/>
      </c>
      <c r="AA62" t="n">
        <v>72</v>
      </c>
      <c r="AB62" t="n">
        <v>0.758</v>
      </c>
      <c r="AC62" t="n">
        <v>0.8110000000000001</v>
      </c>
      <c r="AD62" t="n">
        <v>1.375</v>
      </c>
    </row>
    <row r="63">
      <c r="A63" t="inlineStr">
        <is>
          <t>Temperature monitoring system</t>
        </is>
      </c>
      <c r="C63">
        <f>SUM(MAX(C$5:C62),IF(LEN(B63)&gt;0,1,0))</f>
        <v/>
      </c>
      <c r="D63">
        <f>IF(LEN(B63)&gt;0,CONCATENATE("Xinput_",TEXT(C63,"00"),"_",B63),"")</f>
        <v/>
      </c>
      <c r="E63" s="20" t="inlineStr">
        <is>
          <t>No</t>
        </is>
      </c>
      <c r="F63">
        <f>IF(E63=$AO$5,AB536,0)</f>
        <v/>
      </c>
      <c r="L63" t="inlineStr">
        <is>
          <t>Add Assisted living care</t>
        </is>
      </c>
      <c r="T63">
        <f>ROUND(IF(E104&gt;0,AB743)+CEILING(MAX(E104-AA743,0),1)/AC743*AD743,0)</f>
        <v/>
      </c>
      <c r="Y63">
        <f>ROUND(SUM(Y62,T63),0)</f>
        <v/>
      </c>
      <c r="AA63" t="n">
        <v>73</v>
      </c>
      <c r="AB63" t="n">
        <v>1.068</v>
      </c>
      <c r="AC63" t="n">
        <v>1.849</v>
      </c>
      <c r="AD63" t="n">
        <v>0.8129999999999999</v>
      </c>
    </row>
    <row r="64">
      <c r="A64" t="inlineStr">
        <is>
          <t>Electrical power back</t>
        </is>
      </c>
      <c r="C64">
        <f>SUM(MAX(C$5:C63),IF(LEN(B64)&gt;0,1,0))</f>
        <v/>
      </c>
      <c r="D64">
        <f>IF(LEN(B64)&gt;0,CONCATENATE("Xinput_",TEXT(C64,"00"),"_",B64),"")</f>
        <v/>
      </c>
      <c r="E64" s="20" t="inlineStr">
        <is>
          <t>No</t>
        </is>
      </c>
      <c r="F64">
        <f>IF(E64=$AO$5,AB537,0)</f>
        <v/>
      </c>
      <c r="L64" t="inlineStr">
        <is>
          <t>Add Workers’ Compensation and Employer’s Liability</t>
        </is>
      </c>
      <c r="T64">
        <f>ROUND(IF(E84=$AO$5,AB698,0)+E85*AB699+E86*AB700,0)</f>
        <v/>
      </c>
      <c r="Y64">
        <f>ROUND(SUM(Y63,T64),0)</f>
        <v/>
      </c>
      <c r="AA64" t="n">
        <v>75</v>
      </c>
      <c r="AB64" t="n">
        <v>0.903</v>
      </c>
      <c r="AC64" t="n">
        <v>1.617</v>
      </c>
      <c r="AD64" t="n">
        <v>0.777</v>
      </c>
    </row>
    <row r="65">
      <c r="A65" t="inlineStr">
        <is>
          <t>Gas leakage detector</t>
        </is>
      </c>
      <c r="C65">
        <f>SUM(MAX(C$5:C64),IF(LEN(B65)&gt;0,1,0))</f>
        <v/>
      </c>
      <c r="D65">
        <f>IF(LEN(B65)&gt;0,CONCATENATE("Xinput_",TEXT(C65,"00"),"_",B65),"")</f>
        <v/>
      </c>
      <c r="E65" s="20" t="inlineStr">
        <is>
          <t>No</t>
        </is>
      </c>
      <c r="F65">
        <f>IF(E65=$AO$5,AB538,0)</f>
        <v/>
      </c>
      <c r="L65" t="inlineStr">
        <is>
          <t>Subtract House replacement cost</t>
        </is>
      </c>
      <c r="T65">
        <f>ROUND(IF($E$81=$AO$5,AA694,0),0)</f>
        <v/>
      </c>
      <c r="Y65">
        <f>ROUND(SUM(Y64,T65),0)</f>
        <v/>
      </c>
      <c r="AA65" t="n">
        <v>76</v>
      </c>
      <c r="AB65" t="n">
        <v>1.222</v>
      </c>
      <c r="AC65" t="n">
        <v>2.001</v>
      </c>
      <c r="AD65" t="n">
        <v>1.052</v>
      </c>
    </row>
    <row r="66">
      <c r="A66" t="inlineStr">
        <is>
          <t>Seismic shutoff valve</t>
        </is>
      </c>
      <c r="C66">
        <f>SUM(MAX(C$5:C65),IF(LEN(B66)&gt;0,1,0))</f>
        <v/>
      </c>
      <c r="D66">
        <f>IF(LEN(B66)&gt;0,CONCATENATE("Xinput_",TEXT(C66,"00"),"_",B66),"")</f>
        <v/>
      </c>
      <c r="E66" s="20" t="inlineStr">
        <is>
          <t>No</t>
        </is>
      </c>
      <c r="F66">
        <f>IF(E66=$AO$5,AB539,0)</f>
        <v/>
      </c>
      <c r="L66" t="inlineStr">
        <is>
          <t>Adjusted premium</t>
        </is>
      </c>
      <c r="Y66">
        <f>ROUND(SUM(Y65,-Y53),2)</f>
        <v/>
      </c>
      <c r="AA66" t="n">
        <v>77</v>
      </c>
      <c r="AB66" t="n">
        <v>1.616</v>
      </c>
      <c r="AC66" t="n">
        <v>1.124</v>
      </c>
      <c r="AD66" t="n">
        <v>1.57</v>
      </c>
    </row>
    <row r="67">
      <c r="A67" t="inlineStr">
        <is>
          <t>Lightning protection system</t>
        </is>
      </c>
      <c r="C67">
        <f>SUM(MAX(C$5:C66),IF(LEN(B67)&gt;0,1,0))</f>
        <v/>
      </c>
      <c r="D67">
        <f>IF(LEN(B67)&gt;0,CONCATENATE("Xinput_",TEXT(C67,"00"),"_",B67),"")</f>
        <v/>
      </c>
      <c r="E67" s="20" t="inlineStr">
        <is>
          <t>No</t>
        </is>
      </c>
      <c r="F67">
        <f>IF(E67=$AO$5,AB540,0)</f>
        <v/>
      </c>
      <c r="AA67" t="n">
        <v>78</v>
      </c>
      <c r="AB67" t="n">
        <v>0.636</v>
      </c>
      <c r="AC67" t="n">
        <v>1.911</v>
      </c>
      <c r="AD67" t="n">
        <v>1.154</v>
      </c>
    </row>
    <row r="68">
      <c r="A68" t="inlineStr">
        <is>
          <t>Water leak detection</t>
        </is>
      </c>
      <c r="C68">
        <f>SUM(MAX(C$5:C67),IF(LEN(B68)&gt;0,1,0))</f>
        <v/>
      </c>
      <c r="D68">
        <f>IF(LEN(B68)&gt;0,CONCATENATE("Xinput_",TEXT(C68,"00"),"_",B68),"")</f>
        <v/>
      </c>
      <c r="E68" s="20" t="inlineStr">
        <is>
          <t>None</t>
        </is>
      </c>
      <c r="F68">
        <f>VLOOKUP(E68,$AD$541:$AE$544,2,FALSE)</f>
        <v/>
      </c>
      <c r="L68" t="inlineStr">
        <is>
          <t>Total premium</t>
        </is>
      </c>
      <c r="Y68">
        <f>ROUND(Y65,2)</f>
        <v/>
      </c>
      <c r="AA68" t="n">
        <v>79</v>
      </c>
      <c r="AB68" t="n">
        <v>1.068</v>
      </c>
      <c r="AC68" t="n">
        <v>1.602</v>
      </c>
      <c r="AD68" t="n">
        <v>0.8129999999999999</v>
      </c>
    </row>
    <row r="69">
      <c r="C69">
        <f>SUM(MAX(C$5:C68),IF(LEN(B69)&gt;0,1,0))</f>
        <v/>
      </c>
      <c r="D69">
        <f>IF(LEN(B69)&gt;0,CONCATENATE("Xinput_",TEXT(C69,"00"),"_",B69),"")</f>
        <v/>
      </c>
      <c r="AA69" t="n">
        <v>86</v>
      </c>
      <c r="AB69" t="n">
        <v>0.979</v>
      </c>
      <c r="AC69" t="n">
        <v>0.622</v>
      </c>
      <c r="AD69" t="n">
        <v>2.215</v>
      </c>
    </row>
    <row r="70">
      <c r="A70" s="17" t="inlineStr">
        <is>
          <t>Surcharges</t>
        </is>
      </c>
      <c r="C70">
        <f>SUM(MAX(C$5:C69),IF(LEN(B70)&gt;0,1,0))</f>
        <v/>
      </c>
      <c r="D70">
        <f>IF(LEN(B70)&gt;0,CONCATENATE("Xinput_",TEXT(C70,"00"),"_",B70),"")</f>
        <v/>
      </c>
      <c r="AA70" t="n">
        <v>88</v>
      </c>
      <c r="AB70" t="n">
        <v>0.65</v>
      </c>
      <c r="AC70" t="n">
        <v>2.028</v>
      </c>
      <c r="AD70" t="n">
        <v>0.6840000000000001</v>
      </c>
    </row>
    <row r="71">
      <c r="A71" t="inlineStr">
        <is>
          <t>Cancellation</t>
        </is>
      </c>
      <c r="C71">
        <f>SUM(MAX(C$5:C70),IF(LEN(B71)&gt;0,1,0))</f>
        <v/>
      </c>
      <c r="D71">
        <f>IF(LEN(B71)&gt;0,CONCATENATE("Xinput_",TEXT(C71,"00"),"_",B71),"")</f>
        <v/>
      </c>
      <c r="E71" s="20" t="inlineStr">
        <is>
          <t>Yes</t>
        </is>
      </c>
      <c r="AA71" t="n">
        <v>89</v>
      </c>
      <c r="AB71" t="n">
        <v>0.5620000000000001</v>
      </c>
      <c r="AC71" t="n">
        <v>1.671</v>
      </c>
      <c r="AD71" t="n">
        <v>0.592</v>
      </c>
    </row>
    <row r="72">
      <c r="A72" t="inlineStr">
        <is>
          <t>Roof covering</t>
        </is>
      </c>
      <c r="C72">
        <f>SUM(MAX(C$5:C71),IF(LEN(B72)&gt;0,1,0))</f>
        <v/>
      </c>
      <c r="D72">
        <f>IF(LEN(B72)&gt;0,CONCATENATE("Xinput_",TEXT(C72,"00"),"_",B72),"")</f>
        <v/>
      </c>
      <c r="E72" s="20" t="inlineStr">
        <is>
          <t>Yes</t>
        </is>
      </c>
      <c r="AA72" t="n">
        <v>90</v>
      </c>
      <c r="AB72" t="n">
        <v>1.205</v>
      </c>
      <c r="AC72" t="n">
        <v>0.5</v>
      </c>
      <c r="AD72" t="n">
        <v>1.618</v>
      </c>
    </row>
    <row r="73">
      <c r="A73" t="inlineStr">
        <is>
          <t>Rented to others</t>
        </is>
      </c>
      <c r="C73">
        <f>SUM(MAX(C$5:C72),IF(LEN(B73)&gt;0,1,0))</f>
        <v/>
      </c>
      <c r="D73">
        <f>IF(LEN(B73)&gt;0,CONCATENATE("Xinput_",TEXT(C73,"00"),"_",B73),"")</f>
        <v/>
      </c>
      <c r="E73" s="20" t="inlineStr">
        <is>
          <t>Yes</t>
        </is>
      </c>
      <c r="AA73" t="n">
        <v>92</v>
      </c>
      <c r="AB73" t="n">
        <v>1.489</v>
      </c>
      <c r="AC73" t="n">
        <v>0.553</v>
      </c>
      <c r="AD73" t="n">
        <v>1.597</v>
      </c>
    </row>
    <row r="74">
      <c r="A74" t="inlineStr">
        <is>
          <t>Undervalue</t>
        </is>
      </c>
      <c r="C74">
        <f>SUM(MAX(C$5:C73),IF(LEN(B74)&gt;0,1,0))</f>
        <v/>
      </c>
      <c r="D74">
        <f>IF(LEN(B74)&gt;0,CONCATENATE("Xinput_",TEXT(C74,"00"),"_",B74),"")</f>
        <v/>
      </c>
      <c r="E74" s="20" t="inlineStr">
        <is>
          <t>Yes</t>
        </is>
      </c>
      <c r="AA74" t="n">
        <v>93</v>
      </c>
      <c r="AB74" t="n">
        <v>1.489</v>
      </c>
      <c r="AC74" t="n">
        <v>0.6850000000000001</v>
      </c>
      <c r="AD74" t="n">
        <v>1.597</v>
      </c>
    </row>
    <row r="75">
      <c r="A75" t="inlineStr">
        <is>
          <t>Renovation or Construction surcharge</t>
        </is>
      </c>
      <c r="B75">
        <f>SUBSTITUTE(SUBSTITUTE(SUBSTITUTE(SUBSTITUTE(A75," ","_"),"-",""),"?",""),",","")</f>
        <v/>
      </c>
      <c r="C75">
        <f>SUM(MAX(C$5:C74),IF(LEN(B75)&gt;0,1,0))</f>
        <v/>
      </c>
      <c r="D75">
        <f>IF(LEN(B75)&gt;0,CONCATENATE("Xinput_",TEXT(C75,"00"),"_",B75),"")</f>
        <v/>
      </c>
      <c r="E75" s="7" t="inlineStr">
        <is>
          <t>None</t>
        </is>
      </c>
      <c r="AA75" t="n">
        <v>94</v>
      </c>
      <c r="AB75" t="n">
        <v>1.397</v>
      </c>
      <c r="AC75" t="n">
        <v>1.609</v>
      </c>
      <c r="AD75" t="n">
        <v>1.202</v>
      </c>
    </row>
    <row r="76">
      <c r="A76" t="inlineStr">
        <is>
          <t>Vacant house</t>
        </is>
      </c>
      <c r="C76">
        <f>SUM(MAX(C$5:C75),IF(LEN(B76)&gt;0,1,0))</f>
        <v/>
      </c>
      <c r="D76">
        <f>IF(LEN(B76)&gt;0,CONCATENATE("Xinput_",TEXT(C76,"00"),"_",B76),"")</f>
        <v/>
      </c>
      <c r="E76" s="20" t="inlineStr">
        <is>
          <t>Yes</t>
        </is>
      </c>
      <c r="AA76" t="n">
        <v>95</v>
      </c>
      <c r="AB76" t="n">
        <v>1.397</v>
      </c>
      <c r="AC76" t="n">
        <v>1.712</v>
      </c>
      <c r="AD76" t="n">
        <v>1.202</v>
      </c>
    </row>
    <row r="77">
      <c r="A77" t="inlineStr">
        <is>
          <t>Claims in 3 years</t>
        </is>
      </c>
      <c r="C77">
        <f>SUM(MAX(C$5:C76),IF(LEN(B77)&gt;0,1,0))</f>
        <v/>
      </c>
      <c r="D77">
        <f>IF(LEN(B77)&gt;0,CONCATENATE("Xinput_",TEXT(C77,"00"),"_",B77),"")</f>
        <v/>
      </c>
      <c r="E77" s="20" t="n">
        <v>0</v>
      </c>
      <c r="AA77" t="n">
        <v>98</v>
      </c>
      <c r="AB77" t="n">
        <v>0.803</v>
      </c>
      <c r="AC77" t="n">
        <v>1.877</v>
      </c>
      <c r="AD77" t="n">
        <v>1.457</v>
      </c>
    </row>
    <row r="78">
      <c r="C78">
        <f>SUM(MAX(C$5:C77),IF(LEN(B78)&gt;0,1,0))</f>
        <v/>
      </c>
      <c r="D78">
        <f>IF(LEN(B78)&gt;0,CONCATENATE("Xinput_",TEXT(C78,"00"),"_",B78),"")</f>
        <v/>
      </c>
      <c r="AA78" t="n">
        <v>100</v>
      </c>
      <c r="AB78" t="n">
        <v>1.222</v>
      </c>
      <c r="AC78" t="n">
        <v>1.502</v>
      </c>
      <c r="AD78" t="n">
        <v>1.052</v>
      </c>
    </row>
    <row r="79">
      <c r="A79" s="17" t="inlineStr">
        <is>
          <t>Liability coverage</t>
        </is>
      </c>
      <c r="C79">
        <f>SUM(MAX(C$5:C78),IF(LEN(B79)&gt;0,1,0))</f>
        <v/>
      </c>
      <c r="D79">
        <f>IF(LEN(B79)&gt;0,CONCATENATE("Xinput_",TEXT(C79,"00"),"_",B79),"")</f>
        <v/>
      </c>
      <c r="E79" s="20" t="n">
        <v>1000000</v>
      </c>
      <c r="AA79" t="n">
        <v>101</v>
      </c>
      <c r="AB79" t="n">
        <v>1.351</v>
      </c>
      <c r="AC79" t="n">
        <v>1.946</v>
      </c>
      <c r="AD79" t="n">
        <v>1.162</v>
      </c>
    </row>
    <row r="80">
      <c r="C80">
        <f>SUM(MAX(C$5:C79),IF(LEN(B80)&gt;0,1,0))</f>
        <v/>
      </c>
      <c r="D80">
        <f>IF(LEN(B80)&gt;0,CONCATENATE("Xinput_",TEXT(C80,"00"),"_",B80),"")</f>
        <v/>
      </c>
      <c r="AA80" t="n">
        <v>102</v>
      </c>
      <c r="AB80" t="n">
        <v>0.919</v>
      </c>
      <c r="AC80" t="n">
        <v>0.6919999999999999</v>
      </c>
      <c r="AD80" t="n">
        <v>1.79</v>
      </c>
    </row>
    <row r="81">
      <c r="A81" s="17" t="inlineStr">
        <is>
          <t>House replacement cost</t>
        </is>
      </c>
      <c r="C81">
        <f>SUM(MAX(C$5:C80),IF(LEN(B81)&gt;0,1,0))</f>
        <v/>
      </c>
      <c r="D81">
        <f>IF(LEN(B81)&gt;0,CONCATENATE("Xinput_",TEXT(C81,"00"),"_",B81),"")</f>
        <v/>
      </c>
      <c r="E81" s="20" t="inlineStr">
        <is>
          <t>No</t>
        </is>
      </c>
      <c r="AA81" t="n">
        <v>106</v>
      </c>
      <c r="AB81" t="n">
        <v>0.767</v>
      </c>
      <c r="AC81" t="n">
        <v>1.198</v>
      </c>
      <c r="AD81" t="n">
        <v>1.494</v>
      </c>
    </row>
    <row r="82">
      <c r="C82">
        <f>SUM(MAX(C$5:C81),IF(LEN(B82)&gt;0,1,0))</f>
        <v/>
      </c>
      <c r="D82">
        <f>IF(LEN(B82)&gt;0,CONCATENATE("Xinput_",TEXT(C82,"00"),"_",B82),"")</f>
        <v/>
      </c>
      <c r="AA82" t="n">
        <v>110</v>
      </c>
      <c r="AB82" t="n">
        <v>1.631</v>
      </c>
      <c r="AC82" t="n">
        <v>1.155</v>
      </c>
      <c r="AD82" t="n">
        <v>3.177</v>
      </c>
    </row>
    <row r="83">
      <c r="A83" s="17" t="inlineStr">
        <is>
          <t xml:space="preserve">Workers compensation </t>
        </is>
      </c>
      <c r="C83">
        <f>SUM(MAX(C$5:C82),IF(LEN(B83)&gt;0,1,0))</f>
        <v/>
      </c>
      <c r="D83">
        <f>IF(LEN(B83)&gt;0,CONCATENATE("Xinput_",TEXT(C83,"00"),"_",B83),"")</f>
        <v/>
      </c>
      <c r="AA83" t="n">
        <v>112</v>
      </c>
      <c r="AB83" t="n">
        <v>1.101</v>
      </c>
      <c r="AC83" t="n">
        <v>1.399</v>
      </c>
      <c r="AD83" t="n">
        <v>2.145</v>
      </c>
    </row>
    <row r="84">
      <c r="A84" t="inlineStr">
        <is>
          <t>Residence Employee Occasional</t>
        </is>
      </c>
      <c r="C84">
        <f>SUM(MAX(C$5:C83),IF(LEN(B84)&gt;0,1,0))</f>
        <v/>
      </c>
      <c r="D84">
        <f>IF(LEN(B84)&gt;0,CONCATENATE("Xinput_",TEXT(C84,"00"),"_",B84),"")</f>
        <v/>
      </c>
      <c r="E84" s="20" t="inlineStr">
        <is>
          <t>Yes</t>
        </is>
      </c>
      <c r="AA84" t="n">
        <v>113</v>
      </c>
      <c r="AB84" t="n">
        <v>1.352</v>
      </c>
      <c r="AC84" t="n">
        <v>1.218</v>
      </c>
      <c r="AD84" t="n">
        <v>2.634</v>
      </c>
    </row>
    <row r="85">
      <c r="A85" t="inlineStr">
        <is>
          <t>Residence Employee Full-time inservant</t>
        </is>
      </c>
      <c r="C85">
        <f>SUM(MAX(C$5:C84),IF(LEN(B85)&gt;0,1,0))</f>
        <v/>
      </c>
      <c r="D85">
        <f>IF(LEN(B85)&gt;0,CONCATENATE("Xinput_",TEXT(C85,"00"),"_",B85),"")</f>
        <v/>
      </c>
      <c r="E85" s="20" t="n">
        <v>1</v>
      </c>
      <c r="AA85" t="n">
        <v>114</v>
      </c>
      <c r="AB85" t="n">
        <v>1.368</v>
      </c>
      <c r="AC85" t="n">
        <v>1.436</v>
      </c>
      <c r="AD85" t="n">
        <v>2.666</v>
      </c>
    </row>
    <row r="86">
      <c r="A86" t="inlineStr">
        <is>
          <t>Residence Employee Full-time outservant</t>
        </is>
      </c>
      <c r="C86">
        <f>SUM(MAX(C$5:C85),IF(LEN(B86)&gt;0,1,0))</f>
        <v/>
      </c>
      <c r="D86">
        <f>IF(LEN(B86)&gt;0,CONCATENATE("Xinput_",TEXT(C86,"00"),"_",B86),"")</f>
        <v/>
      </c>
      <c r="E86" s="20" t="n">
        <v>1</v>
      </c>
      <c r="AA86" t="n">
        <v>116</v>
      </c>
      <c r="AB86" t="n">
        <v>1.959</v>
      </c>
      <c r="AC86" t="n">
        <v>1.379</v>
      </c>
      <c r="AD86" t="n">
        <v>3.816</v>
      </c>
    </row>
    <row r="87">
      <c r="C87">
        <f>SUM(MAX(C$5:C86),IF(LEN(B87)&gt;0,1,0))</f>
        <v/>
      </c>
      <c r="D87">
        <f>IF(LEN(B87)&gt;0,CONCATENATE("Xinput_",TEXT(C87,"00"),"_",B87),"")</f>
        <v/>
      </c>
      <c r="AA87" t="n">
        <v>118</v>
      </c>
      <c r="AB87" t="n">
        <v>0.929</v>
      </c>
      <c r="AC87" t="n">
        <v>1.342</v>
      </c>
      <c r="AD87" t="n">
        <v>1.811</v>
      </c>
    </row>
    <row r="88">
      <c r="A88" s="17" t="inlineStr">
        <is>
          <t>Employment practices liability</t>
        </is>
      </c>
      <c r="C88">
        <f>SUM(MAX(C$5:C87),IF(LEN(B88)&gt;0,1,0))</f>
        <v/>
      </c>
      <c r="D88">
        <f>IF(LEN(B88)&gt;0,CONCATENATE("Xinput_",TEXT(C88,"00"),"_",B88),"")</f>
        <v/>
      </c>
      <c r="E88" s="20" t="inlineStr">
        <is>
          <t>B</t>
        </is>
      </c>
      <c r="AA88" t="n">
        <v>119</v>
      </c>
      <c r="AB88" t="n">
        <v>1.631</v>
      </c>
      <c r="AC88" t="n">
        <v>1.17</v>
      </c>
      <c r="AD88" t="n">
        <v>3.177</v>
      </c>
    </row>
    <row r="89">
      <c r="C89">
        <f>SUM(MAX(C$5:C88),IF(LEN(B89)&gt;0,1,0))</f>
        <v/>
      </c>
      <c r="D89">
        <f>IF(LEN(B89)&gt;0,CONCATENATE("Xinput_",TEXT(C89,"00"),"_",B89),"")</f>
        <v/>
      </c>
      <c r="AA89" t="n">
        <v>122</v>
      </c>
      <c r="AB89" t="n">
        <v>0.698</v>
      </c>
      <c r="AC89" t="n">
        <v>1.253</v>
      </c>
      <c r="AD89" t="n">
        <v>1.205</v>
      </c>
    </row>
    <row r="90">
      <c r="A90" s="17" t="inlineStr">
        <is>
          <t>Family Protection</t>
        </is>
      </c>
      <c r="C90">
        <f>SUM(MAX(C$5:C89),IF(LEN(B90)&gt;0,1,0))</f>
        <v/>
      </c>
      <c r="D90">
        <f>IF(LEN(B90)&gt;0,CONCATENATE("Xinput_",TEXT(C90,"00"),"_",B90),"")</f>
        <v/>
      </c>
      <c r="E90" s="20" t="inlineStr">
        <is>
          <t>Yes</t>
        </is>
      </c>
      <c r="AA90" t="n">
        <v>124</v>
      </c>
      <c r="AB90" t="n">
        <v>0.844</v>
      </c>
      <c r="AC90" t="n">
        <v>1.1</v>
      </c>
      <c r="AD90" t="n">
        <v>1.456</v>
      </c>
    </row>
    <row r="91">
      <c r="C91">
        <f>SUM(MAX(C$5:C90),IF(LEN(B91)&gt;0,1,0))</f>
        <v/>
      </c>
      <c r="D91">
        <f>IF(LEN(B91)&gt;0,CONCATENATE("Xinput_",TEXT(C91,"00"),"_",B91),"")</f>
        <v/>
      </c>
      <c r="AA91" t="n">
        <v>125</v>
      </c>
      <c r="AB91" t="n">
        <v>1.122</v>
      </c>
      <c r="AC91" t="n">
        <v>2.343</v>
      </c>
      <c r="AD91" t="n">
        <v>0.854</v>
      </c>
    </row>
    <row r="92">
      <c r="A92" s="17" t="inlineStr">
        <is>
          <t>Homeowners/unit assessments</t>
        </is>
      </c>
      <c r="C92">
        <f>SUM(MAX(C$5:C91),IF(LEN(B92)&gt;0,1,0))</f>
        <v/>
      </c>
      <c r="D92">
        <f>IF(LEN(B92)&gt;0,CONCATENATE("Xinput_",TEXT(C92,"00"),"_",B92),"")</f>
        <v/>
      </c>
      <c r="E92" s="20" t="n">
        <v>100000</v>
      </c>
      <c r="F92">
        <f>IF(E92&gt;MAX(AD716,AE716),1,0)</f>
        <v/>
      </c>
      <c r="AA92" t="n">
        <v>127</v>
      </c>
      <c r="AB92" t="n">
        <v>1.805</v>
      </c>
      <c r="AC92" t="n">
        <v>1.6</v>
      </c>
      <c r="AD92" t="n">
        <v>1.373</v>
      </c>
    </row>
    <row r="93">
      <c r="C93">
        <f>SUM(MAX(C$5:C92),IF(LEN(B93)&gt;0,1,0))</f>
        <v/>
      </c>
      <c r="D93">
        <f>IF(LEN(B93)&gt;0,CONCATENATE("Xinput_",TEXT(C93,"00"),"_",B93),"")</f>
        <v/>
      </c>
      <c r="AA93" t="n">
        <v>130</v>
      </c>
      <c r="AB93" t="n">
        <v>1.687</v>
      </c>
      <c r="AC93" t="n">
        <v>1.538</v>
      </c>
      <c r="AD93" t="n">
        <v>1.283</v>
      </c>
    </row>
    <row r="94">
      <c r="A94" s="17" t="inlineStr">
        <is>
          <t>Landscaping</t>
        </is>
      </c>
      <c r="C94">
        <f>SUM(MAX(C$5:C93),IF(LEN(B94)&gt;0,1,0))</f>
        <v/>
      </c>
      <c r="D94">
        <f>IF(LEN(B94)&gt;0,CONCATENATE("Xinput_",TEXT(C94,"00"),"_",B94),"")</f>
        <v/>
      </c>
      <c r="E94" s="20" t="n">
        <v>100000</v>
      </c>
      <c r="F94">
        <f>IF(E94&gt;AF720,1,0)</f>
        <v/>
      </c>
      <c r="AA94" t="n">
        <v>132</v>
      </c>
      <c r="AB94" t="n">
        <v>0.883</v>
      </c>
      <c r="AC94" t="n">
        <v>1.259</v>
      </c>
      <c r="AD94" t="n">
        <v>1.721</v>
      </c>
    </row>
    <row r="95">
      <c r="A95" s="17" t="inlineStr">
        <is>
          <t>Landscaping total trees excess</t>
        </is>
      </c>
      <c r="C95">
        <f>SUM(MAX(C$5:C94),IF(LEN(B95)&gt;0,1,0))</f>
        <v/>
      </c>
      <c r="D95">
        <f>IF(LEN(B95)&gt;0,CONCATENATE("Xinput_",TEXT(C95,"00"),"_",B95),"")</f>
        <v/>
      </c>
      <c r="E95" s="20" t="n">
        <v>0</v>
      </c>
      <c r="AA95" t="n">
        <v>136</v>
      </c>
      <c r="AB95" t="n">
        <v>0.723</v>
      </c>
      <c r="AC95" t="n">
        <v>1.515</v>
      </c>
      <c r="AD95" t="n">
        <v>1.248</v>
      </c>
    </row>
    <row r="96">
      <c r="A96" s="17" t="inlineStr">
        <is>
          <t>Landscaping most expensive tree</t>
        </is>
      </c>
      <c r="C96">
        <f>SUM(MAX(C$5:C95),IF(LEN(B96)&gt;0,1,0))</f>
        <v/>
      </c>
      <c r="D96">
        <f>IF(LEN(B96)&gt;0,CONCATENATE("Xinput_",TEXT(C96,"00"),"_",B96),"")</f>
        <v/>
      </c>
      <c r="E96" s="20" t="n">
        <v>0</v>
      </c>
      <c r="F96">
        <f>IF(E96&gt;AD723,1,0)</f>
        <v/>
      </c>
      <c r="AA96" t="n">
        <v>137</v>
      </c>
      <c r="AB96" t="n">
        <v>0.844</v>
      </c>
      <c r="AC96" t="n">
        <v>1.386</v>
      </c>
      <c r="AD96" t="n">
        <v>1.456</v>
      </c>
    </row>
    <row r="97">
      <c r="A97" s="17" t="inlineStr">
        <is>
          <t>Landscaping wind and hail</t>
        </is>
      </c>
      <c r="C97">
        <f>SUM(MAX(C$5:C96),IF(LEN(B97)&gt;0,1,0))</f>
        <v/>
      </c>
      <c r="D97">
        <f>IF(LEN(B97)&gt;0,CONCATENATE("Xinput_",TEXT(C97,"00"),"_",B97),"")</f>
        <v/>
      </c>
      <c r="E97" s="20" t="n">
        <v>0</v>
      </c>
      <c r="AA97" t="n">
        <v>138</v>
      </c>
      <c r="AB97" t="n">
        <v>0.875</v>
      </c>
      <c r="AC97" t="n">
        <v>0.709</v>
      </c>
      <c r="AD97" t="n">
        <v>1.979</v>
      </c>
    </row>
    <row r="98">
      <c r="A98" s="17" t="inlineStr">
        <is>
          <t>Landscaping sleet ice snow</t>
        </is>
      </c>
      <c r="C98">
        <f>SUM(MAX(C$5:C97),IF(LEN(B98)&gt;0,1,0))</f>
        <v/>
      </c>
      <c r="D98">
        <f>IF(LEN(B98)&gt;0,CONCATENATE("Xinput_",TEXT(C98,"00"),"_",B98),"")</f>
        <v/>
      </c>
      <c r="E98" s="20" t="n">
        <v>0</v>
      </c>
      <c r="AA98" t="n">
        <v>139</v>
      </c>
      <c r="AB98" t="n">
        <v>1.071</v>
      </c>
      <c r="AC98" t="n">
        <v>0.741</v>
      </c>
      <c r="AD98" t="n">
        <v>2.087</v>
      </c>
    </row>
    <row r="99">
      <c r="C99">
        <f>SUM(MAX(C$5:C98),IF(LEN(B99)&gt;0,1,0))</f>
        <v/>
      </c>
      <c r="D99">
        <f>IF(LEN(B99)&gt;0,CONCATENATE("Xinput_",TEXT(C99,"00"),"_",B99),"")</f>
        <v/>
      </c>
      <c r="AA99" t="n">
        <v>140</v>
      </c>
      <c r="AB99" t="n">
        <v>0.767</v>
      </c>
      <c r="AC99" t="n">
        <v>1.123</v>
      </c>
      <c r="AD99" t="n">
        <v>1.494</v>
      </c>
    </row>
    <row r="100">
      <c r="A100" s="17" t="inlineStr">
        <is>
          <t>Business property</t>
        </is>
      </c>
      <c r="C100">
        <f>SUM(MAX(C$5:C99),IF(LEN(B100)&gt;0,1,0))</f>
        <v/>
      </c>
      <c r="D100">
        <f>IF(LEN(B100)&gt;0,CONCATENATE("Xinput_",TEXT(C100,"00"),"_",B100),"")</f>
        <v/>
      </c>
      <c r="E100" s="20" t="n">
        <v>50000</v>
      </c>
      <c r="F100">
        <f>IF(E100&gt;AD735,1,0)</f>
        <v/>
      </c>
      <c r="AA100" t="n">
        <v>141</v>
      </c>
      <c r="AB100" t="n">
        <v>0.695</v>
      </c>
      <c r="AC100" t="n">
        <v>1.023</v>
      </c>
      <c r="AD100" t="n">
        <v>1.199</v>
      </c>
    </row>
    <row r="101">
      <c r="C101">
        <f>SUM(MAX(C$5:C100),IF(LEN(B101)&gt;0,1,0))</f>
        <v/>
      </c>
      <c r="D101">
        <f>IF(LEN(B101)&gt;0,CONCATENATE("Xinput_",TEXT(C101,"00"),"_",B101),"")</f>
        <v/>
      </c>
      <c r="AA101" t="n">
        <v>142</v>
      </c>
      <c r="AB101" t="n">
        <v>0.785</v>
      </c>
      <c r="AC101" t="n">
        <v>1.468</v>
      </c>
      <c r="AD101" t="n">
        <v>1.354</v>
      </c>
    </row>
    <row r="102">
      <c r="A102" s="17" t="inlineStr">
        <is>
          <t>Student additional living expenses</t>
        </is>
      </c>
      <c r="C102">
        <f>SUM(MAX(C$5:C101),IF(LEN(B102)&gt;0,1,0))</f>
        <v/>
      </c>
      <c r="D102">
        <f>IF(LEN(B102)&gt;0,CONCATENATE("Xinput_",TEXT(C102,"00"),"_",B102),"")</f>
        <v/>
      </c>
      <c r="E102" s="20" t="n">
        <v>5000</v>
      </c>
      <c r="F102">
        <f>IF(E102&gt;AE739,1,0)</f>
        <v/>
      </c>
      <c r="AA102" t="n">
        <v>151</v>
      </c>
      <c r="AB102" t="n">
        <v>1.286</v>
      </c>
      <c r="AC102" t="n">
        <v>1.659</v>
      </c>
      <c r="AD102" t="n">
        <v>1.107</v>
      </c>
    </row>
    <row r="103">
      <c r="C103">
        <f>SUM(MAX(C$5:C102),IF(LEN(B103)&gt;0,1,0))</f>
        <v/>
      </c>
      <c r="D103">
        <f>IF(LEN(B103)&gt;0,CONCATENATE("Xinput_",TEXT(C103,"00"),"_",B103),"")</f>
        <v/>
      </c>
      <c r="AA103" t="n">
        <v>156</v>
      </c>
      <c r="AB103" t="n">
        <v>0.767</v>
      </c>
      <c r="AC103" t="n">
        <v>0.974</v>
      </c>
      <c r="AD103" t="n">
        <v>1.494</v>
      </c>
    </row>
    <row r="104">
      <c r="A104" s="17" t="inlineStr">
        <is>
          <t>Assisted living care coverage</t>
        </is>
      </c>
      <c r="C104">
        <f>SUM(MAX(C$5:C103),IF(LEN(B104)&gt;0,1,0))</f>
        <v/>
      </c>
      <c r="D104">
        <f>IF(LEN(B104)&gt;0,CONCATENATE("Xinput_",TEXT(C104,"00"),"_",B104),"")</f>
        <v/>
      </c>
      <c r="E104" s="20" t="n">
        <v>5000</v>
      </c>
      <c r="F104">
        <f>IF(E104&gt;AE743,1,0)</f>
        <v/>
      </c>
      <c r="AA104" t="n">
        <v>157</v>
      </c>
      <c r="AB104" t="n">
        <v>0.963</v>
      </c>
      <c r="AC104" t="n">
        <v>1.301</v>
      </c>
      <c r="AD104" t="n">
        <v>1.875</v>
      </c>
    </row>
    <row r="105">
      <c r="AA105" t="n">
        <v>177</v>
      </c>
      <c r="AB105" t="n">
        <v>1.585</v>
      </c>
      <c r="AC105" t="n">
        <v>1.053</v>
      </c>
      <c r="AD105" t="n">
        <v>1.541</v>
      </c>
    </row>
    <row r="106">
      <c r="AA106" t="n">
        <v>188</v>
      </c>
      <c r="AB106" t="n">
        <v>0.5620000000000001</v>
      </c>
      <c r="AC106" t="n">
        <v>1.526</v>
      </c>
      <c r="AD106" t="n">
        <v>0.592</v>
      </c>
    </row>
    <row r="107">
      <c r="AA107" t="n">
        <v>189</v>
      </c>
      <c r="AB107" t="n">
        <v>0.5620000000000001</v>
      </c>
      <c r="AC107" t="n">
        <v>1.632</v>
      </c>
      <c r="AD107" t="n">
        <v>0.592</v>
      </c>
    </row>
    <row r="108">
      <c r="AA108" t="n">
        <v>190</v>
      </c>
      <c r="AB108" t="n">
        <v>1.094</v>
      </c>
      <c r="AC108" t="n">
        <v>0.426</v>
      </c>
      <c r="AD108" t="n">
        <v>1.469</v>
      </c>
    </row>
    <row r="110">
      <c r="AA110" t="inlineStr">
        <is>
          <t>Condominium, cooperative or renters</t>
        </is>
      </c>
    </row>
    <row r="111">
      <c r="AA111" t="inlineStr">
        <is>
          <t>Territory</t>
        </is>
      </c>
      <c r="AB111" t="inlineStr">
        <is>
          <t>Wind or hail</t>
        </is>
      </c>
      <c r="AC111" t="inlineStr">
        <is>
          <t>Wildfire</t>
        </is>
      </c>
      <c r="AD111" t="inlineStr">
        <is>
          <t>All other perils</t>
        </is>
      </c>
    </row>
    <row r="112">
      <c r="AA112" t="n">
        <v>3</v>
      </c>
      <c r="AB112" t="n">
        <v>1.924</v>
      </c>
      <c r="AC112" t="n">
        <v>0.441</v>
      </c>
      <c r="AD112" t="n">
        <v>1.924</v>
      </c>
    </row>
    <row r="113">
      <c r="AA113" t="n">
        <v>4</v>
      </c>
      <c r="AB113" t="n">
        <v>1.924</v>
      </c>
      <c r="AC113" t="n">
        <v>0.441</v>
      </c>
      <c r="AD113" t="n">
        <v>1.924</v>
      </c>
    </row>
    <row r="114">
      <c r="AA114" t="n">
        <v>6</v>
      </c>
      <c r="AB114" t="n">
        <v>1.924</v>
      </c>
      <c r="AC114" t="n">
        <v>0.441</v>
      </c>
      <c r="AD114" t="n">
        <v>1.924</v>
      </c>
    </row>
    <row r="115">
      <c r="AA115" t="n">
        <v>7</v>
      </c>
      <c r="AB115" t="n">
        <v>1.924</v>
      </c>
      <c r="AC115" t="n">
        <v>0.441</v>
      </c>
      <c r="AD115" t="n">
        <v>1.924</v>
      </c>
    </row>
    <row r="116">
      <c r="AA116" t="n">
        <v>8</v>
      </c>
      <c r="AB116" t="n">
        <v>1.924</v>
      </c>
      <c r="AC116" t="n">
        <v>0.441</v>
      </c>
      <c r="AD116" t="n">
        <v>1.924</v>
      </c>
    </row>
    <row r="117">
      <c r="AA117" t="n">
        <v>10</v>
      </c>
      <c r="AB117" t="n">
        <v>1.924</v>
      </c>
      <c r="AC117" t="n">
        <v>0.441</v>
      </c>
      <c r="AD117" t="n">
        <v>1.924</v>
      </c>
    </row>
    <row r="118">
      <c r="AA118" t="n">
        <v>11</v>
      </c>
      <c r="AB118" t="n">
        <v>1.924</v>
      </c>
      <c r="AC118" t="n">
        <v>0.441</v>
      </c>
      <c r="AD118" t="n">
        <v>1.924</v>
      </c>
    </row>
    <row r="119">
      <c r="AA119" t="n">
        <v>17</v>
      </c>
      <c r="AB119" t="n">
        <v>0.995</v>
      </c>
      <c r="AC119" t="n">
        <v>0.228</v>
      </c>
      <c r="AD119" t="n">
        <v>0.995</v>
      </c>
    </row>
    <row r="120">
      <c r="AA120" t="n">
        <v>18</v>
      </c>
      <c r="AB120" t="n">
        <v>1.924</v>
      </c>
      <c r="AC120" t="n">
        <v>0.441</v>
      </c>
      <c r="AD120" t="n">
        <v>1.924</v>
      </c>
    </row>
    <row r="121">
      <c r="AA121" t="n">
        <v>20</v>
      </c>
      <c r="AB121" t="n">
        <v>0.995</v>
      </c>
      <c r="AC121" t="n">
        <v>0.228</v>
      </c>
      <c r="AD121" t="n">
        <v>0.995</v>
      </c>
    </row>
    <row r="122">
      <c r="AA122" t="n">
        <v>21</v>
      </c>
      <c r="AB122" t="n">
        <v>1.135</v>
      </c>
      <c r="AC122" t="n">
        <v>1.18</v>
      </c>
      <c r="AD122" t="n">
        <v>1.135</v>
      </c>
    </row>
    <row r="123">
      <c r="AA123" t="n">
        <v>22</v>
      </c>
      <c r="AB123" t="n">
        <v>1.125</v>
      </c>
      <c r="AC123" t="n">
        <v>0.536</v>
      </c>
      <c r="AD123" t="n">
        <v>1.125</v>
      </c>
    </row>
    <row r="124">
      <c r="AA124" t="n">
        <v>24</v>
      </c>
      <c r="AB124" t="n">
        <v>1.135</v>
      </c>
      <c r="AC124" t="n">
        <v>1.18</v>
      </c>
      <c r="AD124" t="n">
        <v>1.135</v>
      </c>
    </row>
    <row r="125">
      <c r="AA125" t="n">
        <v>25</v>
      </c>
      <c r="AB125" t="n">
        <v>1.135</v>
      </c>
      <c r="AC125" t="n">
        <v>1.18</v>
      </c>
      <c r="AD125" t="n">
        <v>1.135</v>
      </c>
    </row>
    <row r="126">
      <c r="AA126" t="n">
        <v>26</v>
      </c>
      <c r="AB126" t="n">
        <v>1.13</v>
      </c>
      <c r="AC126" t="n">
        <v>0.305</v>
      </c>
      <c r="AD126" t="n">
        <v>1.13</v>
      </c>
    </row>
    <row r="127">
      <c r="AA127" t="n">
        <v>28</v>
      </c>
      <c r="AB127" t="n">
        <v>1.09</v>
      </c>
      <c r="AC127" t="n">
        <v>0.477</v>
      </c>
      <c r="AD127" t="n">
        <v>1.09</v>
      </c>
    </row>
    <row r="128">
      <c r="AA128" t="n">
        <v>30</v>
      </c>
      <c r="AB128" t="n">
        <v>1.13</v>
      </c>
      <c r="AC128" t="n">
        <v>0.305</v>
      </c>
      <c r="AD128" t="n">
        <v>1.13</v>
      </c>
    </row>
    <row r="129">
      <c r="AA129" t="n">
        <v>31</v>
      </c>
      <c r="AB129" t="n">
        <v>1.135</v>
      </c>
      <c r="AC129" t="n">
        <v>1.18</v>
      </c>
      <c r="AD129" t="n">
        <v>1.135</v>
      </c>
    </row>
    <row r="130">
      <c r="AA130" t="n">
        <v>32</v>
      </c>
      <c r="AB130" t="n">
        <v>1.135</v>
      </c>
      <c r="AC130" t="n">
        <v>1.18</v>
      </c>
      <c r="AD130" t="n">
        <v>1.135</v>
      </c>
    </row>
    <row r="131">
      <c r="AA131" t="n">
        <v>34</v>
      </c>
      <c r="AB131" t="n">
        <v>1.125</v>
      </c>
      <c r="AC131" t="n">
        <v>0.536</v>
      </c>
      <c r="AD131" t="n">
        <v>1.125</v>
      </c>
    </row>
    <row r="132">
      <c r="AA132" t="n">
        <v>36</v>
      </c>
      <c r="AB132" t="n">
        <v>1.053</v>
      </c>
      <c r="AC132" t="n">
        <v>0.539</v>
      </c>
      <c r="AD132" t="n">
        <v>1.053</v>
      </c>
    </row>
    <row r="133">
      <c r="AA133" t="n">
        <v>38</v>
      </c>
      <c r="AB133" t="n">
        <v>1.053</v>
      </c>
      <c r="AC133" t="n">
        <v>0.539</v>
      </c>
      <c r="AD133" t="n">
        <v>1.053</v>
      </c>
    </row>
    <row r="134">
      <c r="AA134" t="n">
        <v>39</v>
      </c>
      <c r="AB134" t="n">
        <v>1.114</v>
      </c>
      <c r="AC134" t="n">
        <v>0.651</v>
      </c>
      <c r="AD134" t="n">
        <v>1.114</v>
      </c>
    </row>
    <row r="135">
      <c r="AA135" t="n">
        <v>40</v>
      </c>
      <c r="AB135" t="n">
        <v>1.114</v>
      </c>
      <c r="AC135" t="n">
        <v>0.651</v>
      </c>
      <c r="AD135" t="n">
        <v>1.114</v>
      </c>
    </row>
    <row r="136">
      <c r="AA136" t="n">
        <v>51</v>
      </c>
      <c r="AB136" t="n">
        <v>1.575</v>
      </c>
      <c r="AC136" t="n">
        <v>0.043</v>
      </c>
      <c r="AD136" t="n">
        <v>1.575</v>
      </c>
    </row>
    <row r="137">
      <c r="AA137" t="n">
        <v>55</v>
      </c>
      <c r="AB137" t="n">
        <v>1.09</v>
      </c>
      <c r="AC137" t="n">
        <v>0.477</v>
      </c>
      <c r="AD137" t="n">
        <v>1.09</v>
      </c>
    </row>
    <row r="138">
      <c r="AA138" t="n">
        <v>58</v>
      </c>
      <c r="AB138" t="n">
        <v>1.353</v>
      </c>
      <c r="AC138" t="n">
        <v>0.644</v>
      </c>
      <c r="AD138" t="n">
        <v>1.353</v>
      </c>
    </row>
    <row r="139">
      <c r="AA139" t="n">
        <v>67</v>
      </c>
      <c r="AB139" t="n">
        <v>1.125</v>
      </c>
      <c r="AC139" t="n">
        <v>0.536</v>
      </c>
      <c r="AD139" t="n">
        <v>1.125</v>
      </c>
    </row>
    <row r="140">
      <c r="AA140" t="n">
        <v>69</v>
      </c>
      <c r="AB140" t="n">
        <v>1.353</v>
      </c>
      <c r="AC140" t="n">
        <v>0.644</v>
      </c>
      <c r="AD140" t="n">
        <v>1.353</v>
      </c>
    </row>
    <row r="141">
      <c r="AA141" t="n">
        <v>70</v>
      </c>
      <c r="AB141" t="n">
        <v>1.125</v>
      </c>
      <c r="AC141" t="n">
        <v>0.536</v>
      </c>
      <c r="AD141" t="n">
        <v>1.125</v>
      </c>
    </row>
    <row r="142">
      <c r="AA142" t="n">
        <v>72</v>
      </c>
      <c r="AB142" t="n">
        <v>1.125</v>
      </c>
      <c r="AC142" t="n">
        <v>0.536</v>
      </c>
      <c r="AD142" t="n">
        <v>1.125</v>
      </c>
    </row>
    <row r="143">
      <c r="AA143" t="n">
        <v>73</v>
      </c>
      <c r="AB143" t="n">
        <v>1.135</v>
      </c>
      <c r="AC143" t="n">
        <v>1.18</v>
      </c>
      <c r="AD143" t="n">
        <v>1.135</v>
      </c>
    </row>
    <row r="144">
      <c r="AA144" t="n">
        <v>75</v>
      </c>
      <c r="AB144" t="n">
        <v>1.114</v>
      </c>
      <c r="AC144" t="n">
        <v>0.651</v>
      </c>
      <c r="AD144" t="n">
        <v>1.114</v>
      </c>
    </row>
    <row r="145">
      <c r="AA145" t="n">
        <v>76</v>
      </c>
      <c r="AB145" t="n">
        <v>1.114</v>
      </c>
      <c r="AC145" t="n">
        <v>0.651</v>
      </c>
      <c r="AD145" t="n">
        <v>1.114</v>
      </c>
    </row>
    <row r="146">
      <c r="AA146" t="n">
        <v>77</v>
      </c>
      <c r="AB146" t="n">
        <v>1.13</v>
      </c>
      <c r="AC146" t="n">
        <v>0.305</v>
      </c>
      <c r="AD146" t="n">
        <v>1.13</v>
      </c>
    </row>
    <row r="147">
      <c r="AA147" t="n">
        <v>78</v>
      </c>
      <c r="AB147" t="n">
        <v>1.125</v>
      </c>
      <c r="AC147" t="n">
        <v>0.536</v>
      </c>
      <c r="AD147" t="n">
        <v>1.125</v>
      </c>
    </row>
    <row r="148">
      <c r="AA148" t="n">
        <v>79</v>
      </c>
      <c r="AB148" t="n">
        <v>1.135</v>
      </c>
      <c r="AC148" t="n">
        <v>1.18</v>
      </c>
      <c r="AD148" t="n">
        <v>1.135</v>
      </c>
    </row>
    <row r="149">
      <c r="AA149" t="n">
        <v>86</v>
      </c>
      <c r="AB149" t="n">
        <v>1.139</v>
      </c>
      <c r="AC149" t="n">
        <v>0.158</v>
      </c>
      <c r="AD149" t="n">
        <v>1.139</v>
      </c>
    </row>
    <row r="150">
      <c r="AA150" t="n">
        <v>88</v>
      </c>
      <c r="AB150" t="n">
        <v>1.023</v>
      </c>
      <c r="AC150" t="n">
        <v>2.745</v>
      </c>
      <c r="AD150" t="n">
        <v>1.023</v>
      </c>
    </row>
    <row r="151">
      <c r="AA151" t="n">
        <v>89</v>
      </c>
      <c r="AB151" t="n">
        <v>1.023</v>
      </c>
      <c r="AC151" t="n">
        <v>2.745</v>
      </c>
      <c r="AD151" t="n">
        <v>1.023</v>
      </c>
    </row>
    <row r="152">
      <c r="AA152" t="n">
        <v>90</v>
      </c>
      <c r="AB152" t="n">
        <v>1.052</v>
      </c>
      <c r="AC152" t="n">
        <v>0.216</v>
      </c>
      <c r="AD152" t="n">
        <v>1.052</v>
      </c>
    </row>
    <row r="153">
      <c r="AA153" t="n">
        <v>92</v>
      </c>
      <c r="AB153" t="n">
        <v>1.079</v>
      </c>
      <c r="AC153" t="n">
        <v>0.473</v>
      </c>
      <c r="AD153" t="n">
        <v>1.079</v>
      </c>
    </row>
    <row r="154">
      <c r="AA154" t="n">
        <v>93</v>
      </c>
      <c r="AB154" t="n">
        <v>1.079</v>
      </c>
      <c r="AC154" t="n">
        <v>0.473</v>
      </c>
      <c r="AD154" t="n">
        <v>1.079</v>
      </c>
    </row>
    <row r="155">
      <c r="AA155" t="n">
        <v>94</v>
      </c>
      <c r="AB155" t="n">
        <v>1.114</v>
      </c>
      <c r="AC155" t="n">
        <v>0.651</v>
      </c>
      <c r="AD155" t="n">
        <v>1.114</v>
      </c>
    </row>
    <row r="156">
      <c r="AA156" t="n">
        <v>95</v>
      </c>
      <c r="AB156" t="n">
        <v>1.114</v>
      </c>
      <c r="AC156" t="n">
        <v>0.651</v>
      </c>
      <c r="AD156" t="n">
        <v>1.114</v>
      </c>
    </row>
    <row r="157">
      <c r="AA157" t="n">
        <v>98</v>
      </c>
      <c r="AB157" t="n">
        <v>1.125</v>
      </c>
      <c r="AC157" t="n">
        <v>0.536</v>
      </c>
      <c r="AD157" t="n">
        <v>1.125</v>
      </c>
    </row>
    <row r="158">
      <c r="AA158" t="n">
        <v>100</v>
      </c>
      <c r="AB158" t="n">
        <v>1.114</v>
      </c>
      <c r="AC158" t="n">
        <v>0.651</v>
      </c>
      <c r="AD158" t="n">
        <v>1.114</v>
      </c>
    </row>
    <row r="159">
      <c r="AA159" t="n">
        <v>101</v>
      </c>
      <c r="AB159" t="n">
        <v>1.114</v>
      </c>
      <c r="AC159" t="n">
        <v>0.651</v>
      </c>
      <c r="AD159" t="n">
        <v>1.114</v>
      </c>
    </row>
    <row r="160">
      <c r="AA160" t="n">
        <v>102</v>
      </c>
      <c r="AB160" t="n">
        <v>0.995</v>
      </c>
      <c r="AC160" t="n">
        <v>0.228</v>
      </c>
      <c r="AD160" t="n">
        <v>0.995</v>
      </c>
    </row>
    <row r="161">
      <c r="AA161" t="n">
        <v>106</v>
      </c>
      <c r="AB161" t="n">
        <v>1.924</v>
      </c>
      <c r="AC161" t="n">
        <v>0.441</v>
      </c>
      <c r="AD161" t="n">
        <v>1.924</v>
      </c>
    </row>
    <row r="162">
      <c r="AA162" t="n">
        <v>110</v>
      </c>
      <c r="AB162" t="n">
        <v>1.924</v>
      </c>
      <c r="AC162" t="n">
        <v>0.441</v>
      </c>
      <c r="AD162" t="n">
        <v>1.924</v>
      </c>
    </row>
    <row r="163">
      <c r="AA163" t="n">
        <v>112</v>
      </c>
      <c r="AB163" t="n">
        <v>0.995</v>
      </c>
      <c r="AC163" t="n">
        <v>0.228</v>
      </c>
      <c r="AD163" t="n">
        <v>0.995</v>
      </c>
    </row>
    <row r="164">
      <c r="AA164" t="n">
        <v>113</v>
      </c>
      <c r="AB164" t="n">
        <v>1.924</v>
      </c>
      <c r="AC164" t="n">
        <v>0.441</v>
      </c>
      <c r="AD164" t="n">
        <v>1.924</v>
      </c>
    </row>
    <row r="165">
      <c r="AA165" t="n">
        <v>114</v>
      </c>
      <c r="AB165" t="n">
        <v>1.924</v>
      </c>
      <c r="AC165" t="n">
        <v>0.441</v>
      </c>
      <c r="AD165" t="n">
        <v>1.924</v>
      </c>
    </row>
    <row r="166">
      <c r="AA166" t="n">
        <v>116</v>
      </c>
      <c r="AB166" t="n">
        <v>0.995</v>
      </c>
      <c r="AC166" t="n">
        <v>0.228</v>
      </c>
      <c r="AD166" t="n">
        <v>0.995</v>
      </c>
    </row>
    <row r="167">
      <c r="AA167" t="n">
        <v>118</v>
      </c>
      <c r="AB167" t="n">
        <v>1.924</v>
      </c>
      <c r="AC167" t="n">
        <v>0.441</v>
      </c>
      <c r="AD167" t="n">
        <v>1.924</v>
      </c>
    </row>
    <row r="168">
      <c r="AA168" t="n">
        <v>119</v>
      </c>
      <c r="AB168" t="n">
        <v>1.924</v>
      </c>
      <c r="AC168" t="n">
        <v>0.441</v>
      </c>
      <c r="AD168" t="n">
        <v>1.924</v>
      </c>
    </row>
    <row r="169">
      <c r="AA169" t="n">
        <v>122</v>
      </c>
      <c r="AB169" t="n">
        <v>1.253</v>
      </c>
      <c r="AC169" t="n">
        <v>0.647</v>
      </c>
      <c r="AD169" t="n">
        <v>1.253</v>
      </c>
    </row>
    <row r="170">
      <c r="AA170" t="n">
        <v>124</v>
      </c>
      <c r="AB170" t="n">
        <v>1.253</v>
      </c>
      <c r="AC170" t="n">
        <v>0.647</v>
      </c>
      <c r="AD170" t="n">
        <v>1.253</v>
      </c>
    </row>
    <row r="171">
      <c r="AA171" t="n">
        <v>125</v>
      </c>
      <c r="AB171" t="n">
        <v>1.053</v>
      </c>
      <c r="AC171" t="n">
        <v>0.539</v>
      </c>
      <c r="AD171" t="n">
        <v>1.053</v>
      </c>
    </row>
    <row r="172">
      <c r="AA172" t="n">
        <v>127</v>
      </c>
      <c r="AB172" t="n">
        <v>1.135</v>
      </c>
      <c r="AC172" t="n">
        <v>1.18</v>
      </c>
      <c r="AD172" t="n">
        <v>1.135</v>
      </c>
    </row>
    <row r="173">
      <c r="AA173" t="n">
        <v>130</v>
      </c>
      <c r="AB173" t="n">
        <v>1.135</v>
      </c>
      <c r="AC173" t="n">
        <v>1.18</v>
      </c>
      <c r="AD173" t="n">
        <v>1.135</v>
      </c>
    </row>
    <row r="174">
      <c r="AA174" t="n">
        <v>132</v>
      </c>
      <c r="AB174" t="n">
        <v>1.031</v>
      </c>
      <c r="AC174" t="n">
        <v>0.236</v>
      </c>
      <c r="AD174" t="n">
        <v>1.031</v>
      </c>
    </row>
    <row r="175">
      <c r="AA175" t="n">
        <v>136</v>
      </c>
      <c r="AB175" t="n">
        <v>1.298</v>
      </c>
      <c r="AC175" t="n">
        <v>0.671</v>
      </c>
      <c r="AD175" t="n">
        <v>1.298</v>
      </c>
    </row>
    <row r="176">
      <c r="AA176" t="n">
        <v>137</v>
      </c>
      <c r="AB176" t="n">
        <v>1.253</v>
      </c>
      <c r="AC176" t="n">
        <v>0.647</v>
      </c>
      <c r="AD176" t="n">
        <v>1.253</v>
      </c>
    </row>
    <row r="177">
      <c r="AA177" t="n">
        <v>138</v>
      </c>
      <c r="AB177" t="n">
        <v>1.182</v>
      </c>
      <c r="AC177" t="n">
        <v>0.163</v>
      </c>
      <c r="AD177" t="n">
        <v>1.182</v>
      </c>
    </row>
    <row r="178">
      <c r="AA178" t="n">
        <v>139</v>
      </c>
      <c r="AB178" t="n">
        <v>0.995</v>
      </c>
      <c r="AC178" t="n">
        <v>0.228</v>
      </c>
      <c r="AD178" t="n">
        <v>0.995</v>
      </c>
    </row>
    <row r="179">
      <c r="AA179" t="n">
        <v>140</v>
      </c>
      <c r="AB179" t="n">
        <v>1.924</v>
      </c>
      <c r="AC179" t="n">
        <v>0.441</v>
      </c>
      <c r="AD179" t="n">
        <v>1.924</v>
      </c>
    </row>
    <row r="180">
      <c r="AA180" t="n">
        <v>141</v>
      </c>
      <c r="AB180" t="n">
        <v>1.298</v>
      </c>
      <c r="AC180" t="n">
        <v>0.671</v>
      </c>
      <c r="AD180" t="n">
        <v>1.298</v>
      </c>
    </row>
    <row r="181">
      <c r="AA181" t="n">
        <v>142</v>
      </c>
      <c r="AB181" t="n">
        <v>1.253</v>
      </c>
      <c r="AC181" t="n">
        <v>0.647</v>
      </c>
      <c r="AD181" t="n">
        <v>1.253</v>
      </c>
    </row>
    <row r="182">
      <c r="AA182" t="n">
        <v>151</v>
      </c>
      <c r="AB182" t="n">
        <v>1.114</v>
      </c>
      <c r="AC182" t="n">
        <v>0.651</v>
      </c>
      <c r="AD182" t="n">
        <v>1.114</v>
      </c>
    </row>
    <row r="183">
      <c r="AA183" t="n">
        <v>156</v>
      </c>
      <c r="AB183" t="n">
        <v>1.924</v>
      </c>
      <c r="AC183" t="n">
        <v>0.441</v>
      </c>
      <c r="AD183" t="n">
        <v>1.924</v>
      </c>
    </row>
    <row r="184">
      <c r="AA184" t="n">
        <v>157</v>
      </c>
      <c r="AB184" t="n">
        <v>0.995</v>
      </c>
      <c r="AC184" t="n">
        <v>0.228</v>
      </c>
      <c r="AD184" t="n">
        <v>0.995</v>
      </c>
    </row>
    <row r="185">
      <c r="AA185" t="n">
        <v>177</v>
      </c>
      <c r="AB185" t="n">
        <v>1.13</v>
      </c>
      <c r="AC185" t="n">
        <v>0.305</v>
      </c>
      <c r="AD185" t="n">
        <v>1.13</v>
      </c>
    </row>
    <row r="186">
      <c r="AA186" t="n">
        <v>188</v>
      </c>
      <c r="AB186" t="n">
        <v>1.023</v>
      </c>
      <c r="AC186" t="n">
        <v>2.745</v>
      </c>
      <c r="AD186" t="n">
        <v>1.023</v>
      </c>
    </row>
    <row r="187">
      <c r="AA187" t="n">
        <v>189</v>
      </c>
      <c r="AB187" t="n">
        <v>1.023</v>
      </c>
      <c r="AC187" t="n">
        <v>2.745</v>
      </c>
      <c r="AD187" t="n">
        <v>1.023</v>
      </c>
    </row>
    <row r="188">
      <c r="AA188" t="n">
        <v>190</v>
      </c>
      <c r="AB188" t="n">
        <v>1.052</v>
      </c>
      <c r="AC188" t="n">
        <v>0.216</v>
      </c>
      <c r="AD188" t="n">
        <v>1.052</v>
      </c>
    </row>
    <row r="190">
      <c r="AA190" s="17" t="inlineStr">
        <is>
          <t>Contents adjustment</t>
        </is>
      </c>
    </row>
    <row r="191">
      <c r="AA191" t="inlineStr">
        <is>
          <t>Additional deluxe or standard contents purchase:</t>
        </is>
      </c>
    </row>
    <row r="192">
      <c r="AA192" t="inlineStr">
        <is>
          <t>For each 1% of contents coverage above 50% deluxe house coverage</t>
        </is>
      </c>
    </row>
    <row r="193">
      <c r="AA193" t="inlineStr">
        <is>
          <t>For each</t>
        </is>
      </c>
      <c r="AB193" t="inlineStr">
        <is>
          <t>above</t>
        </is>
      </c>
      <c r="AC193" t="inlineStr">
        <is>
          <t>Factor</t>
        </is>
      </c>
    </row>
    <row r="194">
      <c r="AA194" t="n">
        <v>0.01</v>
      </c>
      <c r="AB194" t="n">
        <v>0.5</v>
      </c>
      <c r="AC194" t="n">
        <v>0.005</v>
      </c>
    </row>
    <row r="196">
      <c r="AA196" t="inlineStr">
        <is>
          <t>Reduced deluxe or standard contents purchased:</t>
        </is>
      </c>
    </row>
    <row r="197">
      <c r="AA197" t="inlineStr">
        <is>
          <t>For each 1% of contents coverage below 50% and above 20% of deluxe house coverage</t>
        </is>
      </c>
    </row>
    <row r="198">
      <c r="AA198" t="inlineStr">
        <is>
          <t>For each</t>
        </is>
      </c>
      <c r="AB198" t="inlineStr">
        <is>
          <t>below</t>
        </is>
      </c>
      <c r="AC198" t="inlineStr">
        <is>
          <t>Factor</t>
        </is>
      </c>
    </row>
    <row r="199">
      <c r="AA199" t="n">
        <v>0.01</v>
      </c>
      <c r="AB199" t="n">
        <v>0.2</v>
      </c>
      <c r="AC199" t="n">
        <v>-0.0025</v>
      </c>
    </row>
    <row r="200">
      <c r="AA200" t="inlineStr">
        <is>
          <t>For each 1% of contents coverage below 20% of deluxe house coverage</t>
        </is>
      </c>
    </row>
    <row r="201">
      <c r="AA201" t="inlineStr">
        <is>
          <t>For each</t>
        </is>
      </c>
      <c r="AB201" t="inlineStr">
        <is>
          <t>below</t>
        </is>
      </c>
      <c r="AC201" t="inlineStr">
        <is>
          <t>Factor</t>
        </is>
      </c>
    </row>
    <row r="202">
      <c r="AA202" t="n">
        <v>0.01</v>
      </c>
      <c r="AB202" t="n">
        <v>0.05</v>
      </c>
      <c r="AC202" t="n">
        <v>-0.0025</v>
      </c>
    </row>
    <row r="204">
      <c r="AA204" t="inlineStr">
        <is>
          <t>For deluxe house the contents value below 5% is zero</t>
        </is>
      </c>
    </row>
    <row r="205">
      <c r="AA205" t="inlineStr">
        <is>
          <t>Fire contents For every 1% of house coverage that is requested for fire contents amount, the factor is 0.5%</t>
        </is>
      </c>
    </row>
    <row r="207">
      <c r="AA207" s="17" t="inlineStr">
        <is>
          <t>Other permanent structures adjustment</t>
        </is>
      </c>
    </row>
    <row r="208">
      <c r="AA208" t="inlineStr">
        <is>
          <t>Additional other permanent structures purchased:</t>
        </is>
      </c>
      <c r="AE208" t="inlineStr">
        <is>
          <t>Reduced other permanent
structures purchased:</t>
        </is>
      </c>
    </row>
    <row r="209">
      <c r="AA209" t="inlineStr">
        <is>
          <t>For each 1% of other permanent structures coverage above 20% of deluxe house coverage</t>
        </is>
      </c>
      <c r="AE209" t="inlineStr">
        <is>
          <t>For each 1% of other permanent structures coverage below 20% of deluxe house coverage</t>
        </is>
      </c>
    </row>
    <row r="210">
      <c r="AA210" t="inlineStr">
        <is>
          <t>For each</t>
        </is>
      </c>
      <c r="AB210" t="inlineStr">
        <is>
          <t>above</t>
        </is>
      </c>
      <c r="AC210" t="inlineStr">
        <is>
          <t>Factor</t>
        </is>
      </c>
      <c r="AE210" t="inlineStr">
        <is>
          <t>For each</t>
        </is>
      </c>
      <c r="AF210" t="inlineStr">
        <is>
          <t>below</t>
        </is>
      </c>
      <c r="AG210" t="inlineStr">
        <is>
          <t>Factor</t>
        </is>
      </c>
    </row>
    <row r="211">
      <c r="AA211" t="n">
        <v>0.01</v>
      </c>
      <c r="AB211" t="n">
        <v>0.2</v>
      </c>
      <c r="AC211" t="n">
        <v>0.005</v>
      </c>
      <c r="AE211" t="n">
        <v>0.01</v>
      </c>
      <c r="AF211" t="n">
        <v>0.05</v>
      </c>
      <c r="AG211" t="n">
        <v>-0.0025</v>
      </c>
    </row>
    <row r="212">
      <c r="AA212" t="inlineStr">
        <is>
          <t>The only other permanent structures value available below 5% is $5,000.</t>
        </is>
      </c>
    </row>
    <row r="214">
      <c r="AA214" s="17" t="inlineStr">
        <is>
          <t>Additions and alterations adjustment</t>
        </is>
      </c>
    </row>
    <row r="215">
      <c r="AA215" t="inlineStr">
        <is>
          <t>Additional additions and
alterations purchased:</t>
        </is>
      </c>
      <c r="AD215" t="inlineStr">
        <is>
          <t>Reduced additions and alterations purchased:</t>
        </is>
      </c>
    </row>
    <row r="216">
      <c r="AA216" t="inlineStr">
        <is>
          <t>For each 1% of additions and alterations coverage above 10% of contents coverage</t>
        </is>
      </c>
      <c r="AD216" t="inlineStr">
        <is>
          <t>For each 1% of additions and alterations coverage below 10% of contents coverage</t>
        </is>
      </c>
    </row>
    <row r="217">
      <c r="AA217" t="inlineStr">
        <is>
          <t>Factor</t>
        </is>
      </c>
      <c r="AD217" t="inlineStr">
        <is>
          <t>Factor</t>
        </is>
      </c>
    </row>
    <row r="218">
      <c r="AA218" t="n">
        <v>0.005</v>
      </c>
      <c r="AD218" t="n">
        <v>-0.005</v>
      </c>
    </row>
    <row r="219">
      <c r="AA219" t="inlineStr">
        <is>
          <t>The only additions and alterations value available below 5% is $1,000</t>
        </is>
      </c>
    </row>
    <row r="221">
      <c r="AA221" s="17" t="inlineStr">
        <is>
          <t>Actual cash value adjustment</t>
        </is>
      </c>
    </row>
    <row r="222">
      <c r="AA222" t="inlineStr">
        <is>
          <t>Apply if actual cash value payment basis applies in lieu of replacement cost payment basis.</t>
        </is>
      </c>
    </row>
    <row r="223">
      <c r="AA223" t="inlineStr">
        <is>
          <t>House with deluxe or standard contents</t>
        </is>
      </c>
      <c r="AB223" t="n">
        <v>-0.1</v>
      </c>
    </row>
    <row r="224">
      <c r="AA224" t="inlineStr">
        <is>
          <t>Condominium, cooperative or renters</t>
        </is>
      </c>
      <c r="AB224" t="n">
        <v>-0.23</v>
      </c>
    </row>
    <row r="226">
      <c r="AA226" s="17" t="inlineStr">
        <is>
          <t>Mold remediation expenses coverage</t>
        </is>
      </c>
    </row>
    <row r="227">
      <c r="AA227" t="inlineStr">
        <is>
          <t>Houses</t>
        </is>
      </c>
      <c r="AD227" t="inlineStr">
        <is>
          <t>Condominium, cooperative or renters</t>
        </is>
      </c>
    </row>
    <row r="228">
      <c r="AA228" t="inlineStr">
        <is>
          <t>Percentage of house coverage</t>
        </is>
      </c>
      <c r="AB228" t="inlineStr">
        <is>
          <t>Surcharge</t>
        </is>
      </c>
      <c r="AD228" t="inlineStr">
        <is>
          <t>Percentage of combined amount of contents and additions and alterations</t>
        </is>
      </c>
      <c r="AE228" t="inlineStr">
        <is>
          <t>Surcharge</t>
        </is>
      </c>
    </row>
    <row r="229">
      <c r="AA229" t="n">
        <v>0</v>
      </c>
      <c r="AB229" t="n">
        <v>0</v>
      </c>
      <c r="AD229" t="n">
        <v>0</v>
      </c>
      <c r="AE229" t="n">
        <v>0</v>
      </c>
    </row>
    <row r="230">
      <c r="AA230" t="n">
        <v>0.025</v>
      </c>
      <c r="AB230" t="n">
        <v>0.12</v>
      </c>
      <c r="AD230" t="n">
        <v>0.025</v>
      </c>
      <c r="AE230" t="n">
        <v>0.06</v>
      </c>
    </row>
    <row r="231">
      <c r="AA231" t="n">
        <v>0.05</v>
      </c>
      <c r="AB231" t="n">
        <v>0.2</v>
      </c>
      <c r="AD231" t="n">
        <v>0.05</v>
      </c>
      <c r="AE231" t="n">
        <v>0.1</v>
      </c>
    </row>
    <row r="232">
      <c r="AA232" t="n">
        <v>0.1</v>
      </c>
      <c r="AB232" t="n">
        <v>0.28</v>
      </c>
      <c r="AD232" t="n">
        <v>0.1</v>
      </c>
      <c r="AE232" t="n">
        <v>0.14</v>
      </c>
    </row>
    <row r="233">
      <c r="AA233" t="n">
        <v>0.25</v>
      </c>
      <c r="AB233" t="n">
        <v>0.36</v>
      </c>
      <c r="AD233" t="n">
        <v>0.25</v>
      </c>
      <c r="AE233" t="n">
        <v>0.18</v>
      </c>
    </row>
    <row r="234">
      <c r="AA234" t="n">
        <v>0.5</v>
      </c>
      <c r="AB234" t="n">
        <v>0.44</v>
      </c>
      <c r="AD234" t="n">
        <v>0.5</v>
      </c>
      <c r="AE234" t="n">
        <v>0.22</v>
      </c>
    </row>
    <row r="235">
      <c r="AA235" t="n">
        <v>0.75</v>
      </c>
      <c r="AB235" t="n">
        <v>0.52</v>
      </c>
      <c r="AD235" t="n">
        <v>0.75</v>
      </c>
      <c r="AE235" t="n">
        <v>0.26</v>
      </c>
    </row>
    <row r="236">
      <c r="AA236" t="n">
        <v>1</v>
      </c>
      <c r="AB236" t="n">
        <v>0.6</v>
      </c>
      <c r="AD236" t="n">
        <v>1</v>
      </c>
      <c r="AE236" t="n">
        <v>0.3</v>
      </c>
    </row>
    <row r="238">
      <c r="AA238" s="17" t="inlineStr">
        <is>
          <t>GreenWise upgrade coverage</t>
        </is>
      </c>
    </row>
    <row r="239">
      <c r="S239" s="4" t="n"/>
      <c r="T239" s="4" t="n"/>
      <c r="AA239" t="inlineStr">
        <is>
          <t>Houses</t>
        </is>
      </c>
      <c r="AD239" t="inlineStr">
        <is>
          <t>Condominium, cooperative or renters</t>
        </is>
      </c>
    </row>
    <row r="240">
      <c r="AA240" t="inlineStr">
        <is>
          <t>Percentage of house coverage</t>
        </is>
      </c>
      <c r="AB240" t="inlineStr">
        <is>
          <t>Surcharge</t>
        </is>
      </c>
      <c r="AD240" t="inlineStr">
        <is>
          <t>Percentage of combined amount of contents and additions and alterations</t>
        </is>
      </c>
      <c r="AE240" t="inlineStr">
        <is>
          <t>Surcharge</t>
        </is>
      </c>
    </row>
    <row r="241">
      <c r="AA241" t="n">
        <v>0</v>
      </c>
      <c r="AB241" t="n">
        <v>0</v>
      </c>
      <c r="AD241" t="n">
        <v>0</v>
      </c>
      <c r="AE241" t="n">
        <v>0</v>
      </c>
    </row>
    <row r="242">
      <c r="AA242" t="n">
        <v>0.1</v>
      </c>
      <c r="AB242" t="n">
        <v>0.01</v>
      </c>
      <c r="AD242" t="n">
        <v>0.1</v>
      </c>
      <c r="AE242" t="n">
        <v>0.01</v>
      </c>
    </row>
    <row r="243">
      <c r="AA243" t="n">
        <v>0.25</v>
      </c>
      <c r="AB243" t="n">
        <v>0.02</v>
      </c>
      <c r="AD243" t="n">
        <v>0.25</v>
      </c>
      <c r="AE243" t="n">
        <v>0.02</v>
      </c>
    </row>
    <row r="244">
      <c r="AA244" t="n">
        <v>0.5</v>
      </c>
      <c r="AB244" t="n">
        <v>0.03</v>
      </c>
      <c r="AD244" t="n">
        <v>0.5</v>
      </c>
      <c r="AE244" t="n">
        <v>0.03</v>
      </c>
    </row>
    <row r="245">
      <c r="AA245" t="n">
        <v>0.75</v>
      </c>
      <c r="AB245" t="n">
        <v>0.04</v>
      </c>
      <c r="AD245" t="n">
        <v>0.75</v>
      </c>
      <c r="AE245" t="n">
        <v>0.04</v>
      </c>
    </row>
    <row r="246">
      <c r="AA246" t="n">
        <v>1</v>
      </c>
      <c r="AB246" t="n">
        <v>0.05</v>
      </c>
      <c r="AD246" t="n">
        <v>1</v>
      </c>
      <c r="AE246" t="n">
        <v>0.05</v>
      </c>
    </row>
    <row r="248">
      <c r="AA248" s="17" t="inlineStr">
        <is>
          <t>Fire protection chart (not applicable to wind or hail peril)</t>
        </is>
      </c>
    </row>
    <row r="249">
      <c r="AB249" t="inlineStr">
        <is>
          <t>House</t>
        </is>
      </c>
    </row>
    <row r="250">
      <c r="AA250" t="inlineStr">
        <is>
          <t>Index</t>
        </is>
      </c>
      <c r="AB250" t="inlineStr">
        <is>
          <t>Fire station
within five
miles of
residence?</t>
        </is>
      </c>
      <c r="AC250" t="inlineStr">
        <is>
          <t>Fire hydrant*
within 1,000
feet of the
residence?</t>
        </is>
      </c>
      <c r="AD250" t="inlineStr">
        <is>
          <t>Central station
or direct
reporting fire
alarm?</t>
        </is>
      </c>
      <c r="AE250" t="inlineStr">
        <is>
          <t>Wildfire peril</t>
        </is>
      </c>
      <c r="AF250" t="inlineStr">
        <is>
          <t>All other perils</t>
        </is>
      </c>
      <c r="AG250" t="inlineStr">
        <is>
          <t>Fire protection code</t>
        </is>
      </c>
    </row>
    <row r="251">
      <c r="AA251">
        <f>CONCATENATE(AB251," ",AC251," ",AD251)</f>
        <v/>
      </c>
      <c r="AB251" t="inlineStr">
        <is>
          <t>Yes</t>
        </is>
      </c>
      <c r="AC251" t="inlineStr">
        <is>
          <t>Yes</t>
        </is>
      </c>
      <c r="AD251" t="inlineStr">
        <is>
          <t>Yes</t>
        </is>
      </c>
      <c r="AE251" t="n">
        <v>0.95</v>
      </c>
      <c r="AF251" t="n">
        <v>0.95</v>
      </c>
      <c r="AG251" t="inlineStr">
        <is>
          <t>A</t>
        </is>
      </c>
    </row>
    <row r="252">
      <c r="AA252">
        <f>CONCATENATE(AB252," ",AC252," ",AD252)</f>
        <v/>
      </c>
      <c r="AB252" t="inlineStr">
        <is>
          <t>Yes</t>
        </is>
      </c>
      <c r="AC252" t="inlineStr">
        <is>
          <t>Yes</t>
        </is>
      </c>
      <c r="AD252" t="inlineStr">
        <is>
          <t>No</t>
        </is>
      </c>
      <c r="AE252" t="n">
        <v>1</v>
      </c>
      <c r="AF252" t="n">
        <v>1</v>
      </c>
      <c r="AG252" t="inlineStr">
        <is>
          <t>A</t>
        </is>
      </c>
    </row>
    <row r="253">
      <c r="AA253">
        <f>CONCATENATE(AB253," ",AC253," ",AD253)</f>
        <v/>
      </c>
      <c r="AB253" t="inlineStr">
        <is>
          <t>Yes</t>
        </is>
      </c>
      <c r="AC253" t="inlineStr">
        <is>
          <t>No</t>
        </is>
      </c>
      <c r="AD253" t="inlineStr">
        <is>
          <t>Yes</t>
        </is>
      </c>
      <c r="AE253" t="n">
        <v>1.05</v>
      </c>
      <c r="AF253" t="n">
        <v>1.05</v>
      </c>
      <c r="AG253" t="inlineStr">
        <is>
          <t>A</t>
        </is>
      </c>
    </row>
    <row r="254">
      <c r="AA254">
        <f>CONCATENATE(AB254," ",AC254," ",AD254)</f>
        <v/>
      </c>
      <c r="AB254" t="inlineStr">
        <is>
          <t>Yes</t>
        </is>
      </c>
      <c r="AC254" t="inlineStr">
        <is>
          <t>No</t>
        </is>
      </c>
      <c r="AD254" t="inlineStr">
        <is>
          <t>No</t>
        </is>
      </c>
      <c r="AE254" t="n">
        <v>1.46</v>
      </c>
      <c r="AF254" t="n">
        <v>1.46</v>
      </c>
      <c r="AG254" t="inlineStr">
        <is>
          <t>B</t>
        </is>
      </c>
    </row>
    <row r="255">
      <c r="AA255">
        <f>CONCATENATE(AB255," ",AC255," ",AD255)</f>
        <v/>
      </c>
      <c r="AB255" t="inlineStr">
        <is>
          <t>No</t>
        </is>
      </c>
      <c r="AC255" t="inlineStr">
        <is>
          <t>Yes</t>
        </is>
      </c>
      <c r="AD255" t="inlineStr">
        <is>
          <t>Yes</t>
        </is>
      </c>
      <c r="AE255" t="n">
        <v>1.11</v>
      </c>
      <c r="AF255" t="n">
        <v>1.11</v>
      </c>
      <c r="AG255" t="inlineStr">
        <is>
          <t>A</t>
        </is>
      </c>
    </row>
    <row r="256">
      <c r="AA256">
        <f>CONCATENATE(AB256," ",AC256," ",AD256)</f>
        <v/>
      </c>
      <c r="AB256" t="inlineStr">
        <is>
          <t>No</t>
        </is>
      </c>
      <c r="AC256" t="inlineStr">
        <is>
          <t>Yes</t>
        </is>
      </c>
      <c r="AD256" t="inlineStr">
        <is>
          <t>No</t>
        </is>
      </c>
      <c r="AE256" t="n">
        <v>1.51</v>
      </c>
      <c r="AF256" t="n">
        <v>1.51</v>
      </c>
      <c r="AG256" t="inlineStr">
        <is>
          <t>B</t>
        </is>
      </c>
    </row>
    <row r="257">
      <c r="AA257">
        <f>CONCATENATE(AB257," ",AC257," ",AD257)</f>
        <v/>
      </c>
      <c r="AB257" t="inlineStr">
        <is>
          <t>No</t>
        </is>
      </c>
      <c r="AC257" t="inlineStr">
        <is>
          <t>No</t>
        </is>
      </c>
      <c r="AD257" t="inlineStr">
        <is>
          <t>Yes</t>
        </is>
      </c>
      <c r="AE257" t="n">
        <v>1.27</v>
      </c>
      <c r="AF257" t="n">
        <v>1.27</v>
      </c>
      <c r="AG257" t="inlineStr">
        <is>
          <t>B</t>
        </is>
      </c>
    </row>
    <row r="258">
      <c r="AA258">
        <f>CONCATENATE(AB258," ",AC258," ",AD258)</f>
        <v/>
      </c>
      <c r="AB258" t="inlineStr">
        <is>
          <t>No</t>
        </is>
      </c>
      <c r="AC258" t="inlineStr">
        <is>
          <t>No</t>
        </is>
      </c>
      <c r="AD258" t="inlineStr">
        <is>
          <t>No</t>
        </is>
      </c>
      <c r="AE258" t="n">
        <v>1.6</v>
      </c>
      <c r="AF258" t="n">
        <v>1.6</v>
      </c>
      <c r="AG258" t="inlineStr">
        <is>
          <t>B</t>
        </is>
      </c>
    </row>
    <row r="260">
      <c r="AB260" t="inlineStr">
        <is>
          <t>Condominium, cooperative, or renters</t>
        </is>
      </c>
    </row>
    <row r="261">
      <c r="AB261" t="inlineStr">
        <is>
          <t>Fire station
within five
miles of
residence?</t>
        </is>
      </c>
      <c r="AC261" t="inlineStr">
        <is>
          <t>Fire hydrant*
within 1,000
feet of the
residence?</t>
        </is>
      </c>
      <c r="AD261" t="inlineStr">
        <is>
          <t>Central station
or direct
reporting fire
alarm?</t>
        </is>
      </c>
      <c r="AE261" t="inlineStr">
        <is>
          <t>Wildfire peril</t>
        </is>
      </c>
      <c r="AF261" t="inlineStr">
        <is>
          <t>All other perils</t>
        </is>
      </c>
      <c r="AG261" t="inlineStr">
        <is>
          <t>Fire protection code</t>
        </is>
      </c>
    </row>
    <row r="262">
      <c r="AB262" t="inlineStr">
        <is>
          <t>Yes</t>
        </is>
      </c>
      <c r="AC262" t="inlineStr">
        <is>
          <t>Yes</t>
        </is>
      </c>
      <c r="AD262" t="inlineStr">
        <is>
          <t>Yes</t>
        </is>
      </c>
      <c r="AE262" t="n">
        <v>0.95</v>
      </c>
      <c r="AF262" t="n">
        <v>0.95</v>
      </c>
      <c r="AG262" t="inlineStr">
        <is>
          <t>A</t>
        </is>
      </c>
    </row>
    <row r="263">
      <c r="AB263" t="inlineStr">
        <is>
          <t>Yes</t>
        </is>
      </c>
      <c r="AC263" t="inlineStr">
        <is>
          <t>Yes</t>
        </is>
      </c>
      <c r="AD263" t="inlineStr">
        <is>
          <t>No</t>
        </is>
      </c>
      <c r="AE263" t="n">
        <v>1</v>
      </c>
      <c r="AF263" t="n">
        <v>1</v>
      </c>
      <c r="AG263" t="inlineStr">
        <is>
          <t>A</t>
        </is>
      </c>
    </row>
    <row r="264">
      <c r="AB264" t="inlineStr">
        <is>
          <t>Yes</t>
        </is>
      </c>
      <c r="AC264" t="inlineStr">
        <is>
          <t>No</t>
        </is>
      </c>
      <c r="AD264" t="inlineStr">
        <is>
          <t>Yes</t>
        </is>
      </c>
      <c r="AE264" t="n">
        <v>1.04</v>
      </c>
      <c r="AF264" t="n">
        <v>1.04</v>
      </c>
      <c r="AG264" t="inlineStr">
        <is>
          <t>A</t>
        </is>
      </c>
    </row>
    <row r="265">
      <c r="AB265" t="inlineStr">
        <is>
          <t>Yes</t>
        </is>
      </c>
      <c r="AC265" t="inlineStr">
        <is>
          <t>No</t>
        </is>
      </c>
      <c r="AD265" t="inlineStr">
        <is>
          <t>No</t>
        </is>
      </c>
      <c r="AE265" t="n">
        <v>1.41</v>
      </c>
      <c r="AF265" t="n">
        <v>1.41</v>
      </c>
      <c r="AG265" t="inlineStr">
        <is>
          <t>B</t>
        </is>
      </c>
    </row>
    <row r="266">
      <c r="AB266" t="inlineStr">
        <is>
          <t>No</t>
        </is>
      </c>
      <c r="AC266" t="inlineStr">
        <is>
          <t>Yes</t>
        </is>
      </c>
      <c r="AD266" t="inlineStr">
        <is>
          <t>Yes</t>
        </is>
      </c>
      <c r="AE266" t="n">
        <v>1.1</v>
      </c>
      <c r="AF266" t="n">
        <v>1.1</v>
      </c>
      <c r="AG266" t="inlineStr">
        <is>
          <t>A</t>
        </is>
      </c>
    </row>
    <row r="267">
      <c r="AB267" t="inlineStr">
        <is>
          <t>No</t>
        </is>
      </c>
      <c r="AC267" t="inlineStr">
        <is>
          <t>Yes</t>
        </is>
      </c>
      <c r="AD267" t="inlineStr">
        <is>
          <t>No</t>
        </is>
      </c>
      <c r="AE267" t="n">
        <v>1.46</v>
      </c>
      <c r="AF267" t="n">
        <v>1.46</v>
      </c>
      <c r="AG267" t="inlineStr">
        <is>
          <t>B</t>
        </is>
      </c>
    </row>
    <row r="268">
      <c r="AB268" t="inlineStr">
        <is>
          <t>No</t>
        </is>
      </c>
      <c r="AC268" t="inlineStr">
        <is>
          <t>No</t>
        </is>
      </c>
      <c r="AD268" t="inlineStr">
        <is>
          <t>Yes</t>
        </is>
      </c>
      <c r="AE268" t="n">
        <v>1.24</v>
      </c>
      <c r="AF268" t="n">
        <v>1.24</v>
      </c>
      <c r="AG268" t="inlineStr">
        <is>
          <t>B</t>
        </is>
      </c>
    </row>
    <row r="269">
      <c r="AB269" t="inlineStr">
        <is>
          <t>No</t>
        </is>
      </c>
      <c r="AC269" t="inlineStr">
        <is>
          <t>No</t>
        </is>
      </c>
      <c r="AD269" t="inlineStr">
        <is>
          <t>No</t>
        </is>
      </c>
      <c r="AE269" t="n">
        <v>1.5</v>
      </c>
      <c r="AF269" t="n">
        <v>1.5</v>
      </c>
      <c r="AG269" t="inlineStr">
        <is>
          <t>B</t>
        </is>
      </c>
    </row>
    <row r="271">
      <c r="AA271" s="17" t="inlineStr">
        <is>
          <t>Wildfire adjustment chart (applicable to Wildfire peril only)</t>
        </is>
      </c>
    </row>
    <row r="272">
      <c r="AB272" t="inlineStr">
        <is>
          <t>Site Hazard</t>
        </is>
      </c>
    </row>
    <row r="273">
      <c r="AA273" t="inlineStr">
        <is>
          <t>Zone Hazard</t>
        </is>
      </c>
      <c r="AB273" t="inlineStr">
        <is>
          <t>No threat</t>
        </is>
      </c>
      <c r="AC273" t="inlineStr">
        <is>
          <t>Moderate</t>
        </is>
      </c>
      <c r="AD273" t="inlineStr">
        <is>
          <t>High</t>
        </is>
      </c>
      <c r="AE273" t="inlineStr">
        <is>
          <t>Very High</t>
        </is>
      </c>
      <c r="AF273" t="inlineStr">
        <is>
          <t>Extreme</t>
        </is>
      </c>
    </row>
    <row r="274">
      <c r="AA274" t="inlineStr">
        <is>
          <t>Urban Unzoned</t>
        </is>
      </c>
      <c r="AB274" t="n">
        <v>0.68</v>
      </c>
      <c r="AC274" t="n">
        <v>0.84</v>
      </c>
      <c r="AD274" t="n">
        <v>1</v>
      </c>
      <c r="AE274" t="n">
        <v>1.06</v>
      </c>
      <c r="AF274" t="n">
        <v>1.23</v>
      </c>
    </row>
    <row r="275">
      <c r="AA275" t="inlineStr">
        <is>
          <t>Non-Wildland/Non-Urban</t>
        </is>
      </c>
      <c r="AB275" t="n">
        <v>0.7</v>
      </c>
      <c r="AC275" t="n">
        <v>0.87</v>
      </c>
      <c r="AD275" t="n">
        <v>1.03</v>
      </c>
      <c r="AE275" t="n">
        <v>1.1</v>
      </c>
      <c r="AF275" t="n">
        <v>1.26</v>
      </c>
    </row>
    <row r="276">
      <c r="AA276" t="inlineStr">
        <is>
          <t>Moderate</t>
        </is>
      </c>
      <c r="AB276" t="n">
        <v>1.32</v>
      </c>
      <c r="AC276" t="n">
        <v>1.5</v>
      </c>
      <c r="AD276" t="n">
        <v>1.78</v>
      </c>
      <c r="AE276" t="n">
        <v>1.98</v>
      </c>
      <c r="AF276" t="n">
        <v>2.13</v>
      </c>
    </row>
    <row r="277">
      <c r="AA277" t="inlineStr">
        <is>
          <t>High</t>
        </is>
      </c>
      <c r="AB277" t="n">
        <v>1.37</v>
      </c>
      <c r="AC277" t="n">
        <v>1.56</v>
      </c>
      <c r="AD277" t="n">
        <v>1.84</v>
      </c>
      <c r="AE277" t="n">
        <v>2.05</v>
      </c>
      <c r="AF277" t="n">
        <v>2.2</v>
      </c>
    </row>
    <row r="278">
      <c r="AA278" t="inlineStr">
        <is>
          <t>Very High</t>
        </is>
      </c>
      <c r="AB278" t="n">
        <v>1.67</v>
      </c>
      <c r="AC278" t="n">
        <v>1.94</v>
      </c>
      <c r="AD278" t="n">
        <v>2.48</v>
      </c>
      <c r="AE278" t="n">
        <v>2.62</v>
      </c>
      <c r="AF278" t="n">
        <v>4.41</v>
      </c>
    </row>
    <row r="280">
      <c r="AA280" s="17" t="inlineStr">
        <is>
          <t>Wildfire reduction discounts and surcharge (applicable to Wildfire peril only)</t>
        </is>
      </c>
    </row>
    <row r="281">
      <c r="AA281" t="inlineStr">
        <is>
          <t>Wildfire reduction discounts</t>
        </is>
      </c>
      <c r="AB281" t="inlineStr">
        <is>
          <t>House</t>
        </is>
      </c>
      <c r="AC281" t="inlineStr">
        <is>
          <t>Condominium, cooperative, or renters</t>
        </is>
      </c>
      <c r="AF281" t="inlineStr">
        <is>
          <t>House</t>
        </is>
      </c>
      <c r="AI281" t="inlineStr">
        <is>
          <t>House</t>
        </is>
      </c>
    </row>
    <row r="282">
      <c r="AA282" t="inlineStr">
        <is>
          <t>Shelter in place</t>
        </is>
      </c>
      <c r="AB282" t="n">
        <v>-0.05</v>
      </c>
      <c r="AC282" t="n">
        <v>-0.05</v>
      </c>
      <c r="AE282" t="inlineStr">
        <is>
          <t>Auto retardant</t>
        </is>
      </c>
      <c r="AF282">
        <f>AB287</f>
        <v/>
      </c>
      <c r="AH282" t="inlineStr">
        <is>
          <t>Superior</t>
        </is>
      </c>
      <c r="AI282" t="n">
        <v>-0.1</v>
      </c>
    </row>
    <row r="283">
      <c r="AA283" t="inlineStr">
        <is>
          <t>No combustible decks, balconies, porches, or exterior stairs</t>
        </is>
      </c>
      <c r="AB283" t="n">
        <v>-0.05</v>
      </c>
      <c r="AC283" t="inlineStr">
        <is>
          <t>N/A</t>
        </is>
      </c>
      <c r="AE283" t="inlineStr">
        <is>
          <t>Auto water</t>
        </is>
      </c>
      <c r="AF283">
        <f>AB288</f>
        <v/>
      </c>
      <c r="AH283" t="inlineStr">
        <is>
          <t>Normal</t>
        </is>
      </c>
      <c r="AI283" t="n">
        <v>0</v>
      </c>
    </row>
    <row r="284">
      <c r="AA284" t="inlineStr">
        <is>
          <t>Flame/ember resistant vents</t>
        </is>
      </c>
      <c r="AB284" t="n">
        <v>-0.05</v>
      </c>
      <c r="AC284" t="inlineStr">
        <is>
          <t>N/A</t>
        </is>
      </c>
      <c r="AE284" t="inlineStr">
        <is>
          <t>Manual</t>
        </is>
      </c>
      <c r="AF284">
        <f>AB289</f>
        <v/>
      </c>
      <c r="AH284" t="inlineStr">
        <is>
          <t>Inferior</t>
        </is>
      </c>
      <c r="AI284" t="n">
        <v>0.1</v>
      </c>
    </row>
    <row r="285">
      <c r="AA285" t="inlineStr">
        <is>
          <t>Defensible space adjustment – superior*</t>
        </is>
      </c>
      <c r="AB285" t="n">
        <v>-0.1</v>
      </c>
      <c r="AC285" t="n">
        <v>-0.1</v>
      </c>
      <c r="AE285" t="inlineStr">
        <is>
          <t>None</t>
        </is>
      </c>
      <c r="AF285" t="n">
        <v>0</v>
      </c>
    </row>
    <row r="286">
      <c r="AA286" t="inlineStr">
        <is>
          <t>Wildfire suppression system</t>
        </is>
      </c>
      <c r="AE286" t="inlineStr">
        <is>
          <t>Insufficient</t>
        </is>
      </c>
      <c r="AF286">
        <f>AB292</f>
        <v/>
      </c>
    </row>
    <row r="287">
      <c r="AA287" t="inlineStr">
        <is>
          <t>• automatic activation by fire sensor with fire retardant;</t>
        </is>
      </c>
      <c r="AB287" t="n">
        <v>-0.1</v>
      </c>
      <c r="AC287" t="inlineStr">
        <is>
          <t>N/A</t>
        </is>
      </c>
    </row>
    <row r="288">
      <c r="AA288" t="inlineStr">
        <is>
          <t>• automatic activation by fire sensor – water only;</t>
        </is>
      </c>
      <c r="AB288" t="n">
        <v>-0.05</v>
      </c>
      <c r="AC288" t="inlineStr">
        <is>
          <t>N/A</t>
        </is>
      </c>
    </row>
    <row r="289">
      <c r="AA289" t="inlineStr">
        <is>
          <t>• manually activated or activated through the telephone with fire retardant</t>
        </is>
      </c>
      <c r="AB289" t="n">
        <v>-0.03</v>
      </c>
      <c r="AC289" t="inlineStr">
        <is>
          <t>N/A</t>
        </is>
      </c>
    </row>
    <row r="291">
      <c r="AA291" t="inlineStr">
        <is>
          <t>Defensible space surcharge</t>
        </is>
      </c>
      <c r="AB291" t="inlineStr">
        <is>
          <t>House</t>
        </is>
      </c>
      <c r="AC291" t="inlineStr">
        <is>
          <t>Condominium, cooperative, or renters</t>
        </is>
      </c>
    </row>
    <row r="292">
      <c r="AA292" t="inlineStr">
        <is>
          <t>Defensible space adjustment – insufficient*</t>
        </is>
      </c>
      <c r="AB292" t="n">
        <v>0.1</v>
      </c>
      <c r="AC292" t="n">
        <v>0.1</v>
      </c>
    </row>
    <row r="293">
      <c r="AA293" t="inlineStr">
        <is>
          <t>* Applied by Company</t>
        </is>
      </c>
    </row>
    <row r="295">
      <c r="AA295" s="17" t="inlineStr">
        <is>
          <t>Value factor chart</t>
        </is>
      </c>
    </row>
    <row r="296">
      <c r="AA296" t="inlineStr">
        <is>
          <t>Territory designations</t>
        </is>
      </c>
    </row>
    <row r="297">
      <c r="AA297" t="inlineStr">
        <is>
          <t>Territory</t>
        </is>
      </c>
      <c r="AB297" t="inlineStr">
        <is>
          <t>North or South designation</t>
        </is>
      </c>
      <c r="AC297" t="inlineStr">
        <is>
          <t>Fire protection code. For the premium for Wildfire and All other perils, use the fire protection chart to determine whether a residence is fire protection code A or B.</t>
        </is>
      </c>
    </row>
    <row r="298">
      <c r="AA298" t="n">
        <v>3</v>
      </c>
      <c r="AB298" t="inlineStr">
        <is>
          <t>South</t>
        </is>
      </c>
      <c r="AC298" t="inlineStr">
        <is>
          <t>For the premium for Wind or hail, use only fire protection code A factors from the fire protection chart.</t>
        </is>
      </c>
    </row>
    <row r="299">
      <c r="AA299" t="n">
        <v>4</v>
      </c>
      <c r="AB299" t="inlineStr">
        <is>
          <t>South</t>
        </is>
      </c>
    </row>
    <row r="300">
      <c r="AA300" t="n">
        <v>6</v>
      </c>
      <c r="AB300" t="inlineStr">
        <is>
          <t>South</t>
        </is>
      </c>
    </row>
    <row r="301">
      <c r="AA301" t="n">
        <v>7</v>
      </c>
      <c r="AB301" t="inlineStr">
        <is>
          <t>South</t>
        </is>
      </c>
    </row>
    <row r="302">
      <c r="AA302" t="n">
        <v>8</v>
      </c>
      <c r="AB302" t="inlineStr">
        <is>
          <t>South</t>
        </is>
      </c>
    </row>
    <row r="303">
      <c r="AA303" t="n">
        <v>10</v>
      </c>
      <c r="AB303" t="inlineStr">
        <is>
          <t>South</t>
        </is>
      </c>
    </row>
    <row r="304">
      <c r="AA304" t="n">
        <v>11</v>
      </c>
      <c r="AB304" t="inlineStr">
        <is>
          <t>South</t>
        </is>
      </c>
    </row>
    <row r="305">
      <c r="AA305" t="n">
        <v>17</v>
      </c>
      <c r="AB305" t="inlineStr">
        <is>
          <t>South</t>
        </is>
      </c>
    </row>
    <row r="306">
      <c r="AA306" t="n">
        <v>18</v>
      </c>
      <c r="AB306" t="inlineStr">
        <is>
          <t>South</t>
        </is>
      </c>
    </row>
    <row r="307">
      <c r="AA307" t="n">
        <v>20</v>
      </c>
      <c r="AB307" t="inlineStr">
        <is>
          <t>South</t>
        </is>
      </c>
    </row>
    <row r="308">
      <c r="AA308" t="n">
        <v>21</v>
      </c>
      <c r="AB308" t="inlineStr">
        <is>
          <t>North</t>
        </is>
      </c>
    </row>
    <row r="309">
      <c r="AA309" t="n">
        <v>22</v>
      </c>
      <c r="AB309" t="inlineStr">
        <is>
          <t>South</t>
        </is>
      </c>
    </row>
    <row r="310">
      <c r="AA310" t="n">
        <v>24</v>
      </c>
      <c r="AB310" t="inlineStr">
        <is>
          <t>North</t>
        </is>
      </c>
    </row>
    <row r="311">
      <c r="AA311" t="n">
        <v>25</v>
      </c>
      <c r="AB311" t="inlineStr">
        <is>
          <t>North</t>
        </is>
      </c>
    </row>
    <row r="312">
      <c r="AA312" t="n">
        <v>26</v>
      </c>
      <c r="AB312" t="inlineStr">
        <is>
          <t>North</t>
        </is>
      </c>
    </row>
    <row r="313">
      <c r="AA313" t="n">
        <v>28</v>
      </c>
      <c r="AB313" t="inlineStr">
        <is>
          <t>North</t>
        </is>
      </c>
    </row>
    <row r="314">
      <c r="AA314" t="n">
        <v>30</v>
      </c>
      <c r="AB314" t="inlineStr">
        <is>
          <t>North</t>
        </is>
      </c>
    </row>
    <row r="315">
      <c r="AA315" t="n">
        <v>31</v>
      </c>
      <c r="AB315" t="inlineStr">
        <is>
          <t>North</t>
        </is>
      </c>
    </row>
    <row r="316">
      <c r="AA316" t="n">
        <v>32</v>
      </c>
      <c r="AB316" t="inlineStr">
        <is>
          <t>North</t>
        </is>
      </c>
    </row>
    <row r="317">
      <c r="AA317" t="n">
        <v>34</v>
      </c>
      <c r="AB317" t="inlineStr">
        <is>
          <t>South</t>
        </is>
      </c>
    </row>
    <row r="318">
      <c r="AA318" t="n">
        <v>36</v>
      </c>
      <c r="AB318" t="inlineStr">
        <is>
          <t>North</t>
        </is>
      </c>
    </row>
    <row r="319">
      <c r="AA319" t="n">
        <v>38</v>
      </c>
      <c r="AB319" t="inlineStr">
        <is>
          <t>North</t>
        </is>
      </c>
    </row>
    <row r="320">
      <c r="AA320" t="n">
        <v>39</v>
      </c>
      <c r="AB320" t="inlineStr">
        <is>
          <t>North</t>
        </is>
      </c>
    </row>
    <row r="321">
      <c r="AA321" t="n">
        <v>40</v>
      </c>
      <c r="AB321" t="inlineStr">
        <is>
          <t>North</t>
        </is>
      </c>
    </row>
    <row r="322">
      <c r="AA322" t="n">
        <v>51</v>
      </c>
      <c r="AB322" t="inlineStr">
        <is>
          <t>North</t>
        </is>
      </c>
    </row>
    <row r="323">
      <c r="AA323" t="n">
        <v>55</v>
      </c>
      <c r="AB323" t="inlineStr">
        <is>
          <t>North</t>
        </is>
      </c>
    </row>
    <row r="324">
      <c r="AA324" t="n">
        <v>58</v>
      </c>
      <c r="AB324" t="inlineStr">
        <is>
          <t>South</t>
        </is>
      </c>
    </row>
    <row r="325">
      <c r="AA325" t="n">
        <v>67</v>
      </c>
      <c r="AB325" t="inlineStr">
        <is>
          <t>South</t>
        </is>
      </c>
    </row>
    <row r="326">
      <c r="AA326" t="n">
        <v>69</v>
      </c>
      <c r="AB326" t="inlineStr">
        <is>
          <t>South</t>
        </is>
      </c>
    </row>
    <row r="327">
      <c r="AA327" t="n">
        <v>70</v>
      </c>
      <c r="AB327" t="inlineStr">
        <is>
          <t>South</t>
        </is>
      </c>
    </row>
    <row r="328">
      <c r="AA328" t="n">
        <v>72</v>
      </c>
      <c r="AB328" t="inlineStr">
        <is>
          <t>South</t>
        </is>
      </c>
    </row>
    <row r="329">
      <c r="AA329" t="n">
        <v>73</v>
      </c>
      <c r="AB329" t="inlineStr">
        <is>
          <t>North</t>
        </is>
      </c>
    </row>
    <row r="330">
      <c r="AA330" t="n">
        <v>75</v>
      </c>
      <c r="AB330" t="inlineStr">
        <is>
          <t>North</t>
        </is>
      </c>
    </row>
    <row r="331">
      <c r="AA331" t="n">
        <v>76</v>
      </c>
      <c r="AB331" t="inlineStr">
        <is>
          <t>North</t>
        </is>
      </c>
    </row>
    <row r="332">
      <c r="AA332" t="n">
        <v>77</v>
      </c>
      <c r="AB332" t="inlineStr">
        <is>
          <t>North</t>
        </is>
      </c>
    </row>
    <row r="333">
      <c r="AA333" t="n">
        <v>78</v>
      </c>
      <c r="AB333" t="inlineStr">
        <is>
          <t>South</t>
        </is>
      </c>
    </row>
    <row r="334">
      <c r="AA334" t="n">
        <v>79</v>
      </c>
      <c r="AB334" t="inlineStr">
        <is>
          <t>North</t>
        </is>
      </c>
    </row>
    <row r="335">
      <c r="AA335" t="n">
        <v>86</v>
      </c>
      <c r="AB335" t="inlineStr">
        <is>
          <t>South</t>
        </is>
      </c>
    </row>
    <row r="336">
      <c r="AA336" t="n">
        <v>88</v>
      </c>
      <c r="AB336" t="inlineStr">
        <is>
          <t>South</t>
        </is>
      </c>
    </row>
    <row r="337">
      <c r="AA337" t="n">
        <v>89</v>
      </c>
      <c r="AB337" t="inlineStr">
        <is>
          <t>South</t>
        </is>
      </c>
    </row>
    <row r="338">
      <c r="AA338" t="n">
        <v>90</v>
      </c>
      <c r="AB338" t="inlineStr">
        <is>
          <t>North</t>
        </is>
      </c>
    </row>
    <row r="339">
      <c r="AA339" t="n">
        <v>92</v>
      </c>
      <c r="AB339" t="inlineStr">
        <is>
          <t>North</t>
        </is>
      </c>
    </row>
    <row r="340">
      <c r="AA340" t="n">
        <v>93</v>
      </c>
      <c r="AB340" t="inlineStr">
        <is>
          <t>North</t>
        </is>
      </c>
    </row>
    <row r="341">
      <c r="AA341" t="n">
        <v>94</v>
      </c>
      <c r="AB341" t="inlineStr">
        <is>
          <t>North</t>
        </is>
      </c>
    </row>
    <row r="342">
      <c r="AA342" t="n">
        <v>95</v>
      </c>
      <c r="AB342" t="inlineStr">
        <is>
          <t>North</t>
        </is>
      </c>
    </row>
    <row r="343">
      <c r="AA343" t="n">
        <v>98</v>
      </c>
      <c r="AB343" t="inlineStr">
        <is>
          <t>South</t>
        </is>
      </c>
    </row>
    <row r="344">
      <c r="AA344" t="n">
        <v>100</v>
      </c>
      <c r="AB344" t="inlineStr">
        <is>
          <t>North</t>
        </is>
      </c>
    </row>
    <row r="345">
      <c r="AA345" t="n">
        <v>101</v>
      </c>
      <c r="AB345" t="inlineStr">
        <is>
          <t>North</t>
        </is>
      </c>
    </row>
    <row r="346">
      <c r="AA346" t="n">
        <v>102</v>
      </c>
      <c r="AB346" t="inlineStr">
        <is>
          <t>South</t>
        </is>
      </c>
    </row>
    <row r="347">
      <c r="AA347" t="n">
        <v>106</v>
      </c>
      <c r="AB347" t="inlineStr">
        <is>
          <t>South</t>
        </is>
      </c>
    </row>
    <row r="348">
      <c r="AA348" t="n">
        <v>110</v>
      </c>
      <c r="AB348" t="inlineStr">
        <is>
          <t>South</t>
        </is>
      </c>
    </row>
    <row r="349">
      <c r="AA349" t="n">
        <v>112</v>
      </c>
      <c r="AB349" t="inlineStr">
        <is>
          <t>South</t>
        </is>
      </c>
    </row>
    <row r="350">
      <c r="AA350" t="n">
        <v>113</v>
      </c>
      <c r="AB350" t="inlineStr">
        <is>
          <t>South</t>
        </is>
      </c>
    </row>
    <row r="351">
      <c r="AA351" t="n">
        <v>114</v>
      </c>
      <c r="AB351" t="inlineStr">
        <is>
          <t>South</t>
        </is>
      </c>
    </row>
    <row r="352">
      <c r="AA352" t="n">
        <v>116</v>
      </c>
      <c r="AB352" t="inlineStr">
        <is>
          <t>South</t>
        </is>
      </c>
    </row>
    <row r="353">
      <c r="AA353" t="n">
        <v>118</v>
      </c>
      <c r="AB353" t="inlineStr">
        <is>
          <t>South</t>
        </is>
      </c>
    </row>
    <row r="354">
      <c r="AA354" t="n">
        <v>119</v>
      </c>
      <c r="AB354" t="inlineStr">
        <is>
          <t>South</t>
        </is>
      </c>
    </row>
    <row r="355">
      <c r="AA355" t="n">
        <v>122</v>
      </c>
      <c r="AB355" t="inlineStr">
        <is>
          <t>South</t>
        </is>
      </c>
    </row>
    <row r="356">
      <c r="AA356" t="n">
        <v>124</v>
      </c>
      <c r="AB356" t="inlineStr">
        <is>
          <t>South</t>
        </is>
      </c>
    </row>
    <row r="357">
      <c r="AA357" t="n">
        <v>125</v>
      </c>
      <c r="AB357" t="inlineStr">
        <is>
          <t>North</t>
        </is>
      </c>
    </row>
    <row r="358">
      <c r="AA358" t="n">
        <v>127</v>
      </c>
      <c r="AB358" t="inlineStr">
        <is>
          <t>North</t>
        </is>
      </c>
    </row>
    <row r="359">
      <c r="AA359" t="n">
        <v>130</v>
      </c>
      <c r="AB359" t="inlineStr">
        <is>
          <t>North</t>
        </is>
      </c>
    </row>
    <row r="360">
      <c r="AA360" t="n">
        <v>132</v>
      </c>
      <c r="AB360" t="inlineStr">
        <is>
          <t>South</t>
        </is>
      </c>
    </row>
    <row r="361">
      <c r="AA361" t="n">
        <v>136</v>
      </c>
      <c r="AB361" t="inlineStr">
        <is>
          <t>South</t>
        </is>
      </c>
    </row>
    <row r="362">
      <c r="AA362" t="n">
        <v>137</v>
      </c>
      <c r="AB362" t="inlineStr">
        <is>
          <t>South</t>
        </is>
      </c>
    </row>
    <row r="363">
      <c r="AA363" t="n">
        <v>138</v>
      </c>
      <c r="AB363" t="inlineStr">
        <is>
          <t>South</t>
        </is>
      </c>
    </row>
    <row r="364">
      <c r="AA364" t="n">
        <v>139</v>
      </c>
      <c r="AB364" t="inlineStr">
        <is>
          <t>South</t>
        </is>
      </c>
    </row>
    <row r="365">
      <c r="AA365" t="n">
        <v>140</v>
      </c>
      <c r="AB365" t="inlineStr">
        <is>
          <t>South</t>
        </is>
      </c>
    </row>
    <row r="366">
      <c r="AA366" t="n">
        <v>141</v>
      </c>
      <c r="AB366" t="inlineStr">
        <is>
          <t>South</t>
        </is>
      </c>
    </row>
    <row r="367">
      <c r="AA367" t="n">
        <v>142</v>
      </c>
      <c r="AB367" t="inlineStr">
        <is>
          <t>South</t>
        </is>
      </c>
    </row>
    <row r="368">
      <c r="AA368" t="n">
        <v>151</v>
      </c>
      <c r="AB368" t="inlineStr">
        <is>
          <t>North</t>
        </is>
      </c>
    </row>
    <row r="369">
      <c r="AA369" t="n">
        <v>156</v>
      </c>
      <c r="AB369" t="inlineStr">
        <is>
          <t>South</t>
        </is>
      </c>
    </row>
    <row r="370">
      <c r="AA370" t="n">
        <v>157</v>
      </c>
      <c r="AB370" t="inlineStr">
        <is>
          <t>South</t>
        </is>
      </c>
    </row>
    <row r="371">
      <c r="AA371" t="n">
        <v>177</v>
      </c>
      <c r="AB371" t="inlineStr">
        <is>
          <t>North</t>
        </is>
      </c>
    </row>
    <row r="372">
      <c r="AA372" t="n">
        <v>188</v>
      </c>
      <c r="AB372" t="inlineStr">
        <is>
          <t>South</t>
        </is>
      </c>
    </row>
    <row r="373">
      <c r="AA373" t="n">
        <v>189</v>
      </c>
      <c r="AB373" t="inlineStr">
        <is>
          <t>South</t>
        </is>
      </c>
    </row>
    <row r="374">
      <c r="AA374" t="n">
        <v>190</v>
      </c>
      <c r="AB374" t="inlineStr">
        <is>
          <t>North</t>
        </is>
      </c>
    </row>
    <row r="376">
      <c r="AA376" s="17" t="inlineStr">
        <is>
          <t>Northern California value factors</t>
        </is>
      </c>
    </row>
    <row r="377">
      <c r="AB377" t="inlineStr">
        <is>
          <t>House</t>
        </is>
      </c>
    </row>
    <row r="378">
      <c r="AB378" t="inlineStr">
        <is>
          <t>Wind or hail and All other perils</t>
        </is>
      </c>
      <c r="AF378" t="inlineStr">
        <is>
          <t>Wildfire</t>
        </is>
      </c>
    </row>
    <row r="379">
      <c r="AB379" t="inlineStr">
        <is>
          <t>Fire protection code A</t>
        </is>
      </c>
      <c r="AD379" t="inlineStr">
        <is>
          <t>Fire protection code B</t>
        </is>
      </c>
      <c r="AF379" t="inlineStr">
        <is>
          <t>Fiure protection code A</t>
        </is>
      </c>
      <c r="AH379" t="inlineStr">
        <is>
          <t>Fire protection code B</t>
        </is>
      </c>
    </row>
    <row r="380">
      <c r="AA380" t="inlineStr">
        <is>
          <t>Value of building</t>
        </is>
      </c>
      <c r="AB380" t="inlineStr">
        <is>
          <t>Value factor</t>
        </is>
      </c>
      <c r="AC380" t="inlineStr">
        <is>
          <t>Each additional $1,000</t>
        </is>
      </c>
      <c r="AD380" t="inlineStr">
        <is>
          <t>Value factor</t>
        </is>
      </c>
      <c r="AE380" t="inlineStr">
        <is>
          <t>Each additional $1,000</t>
        </is>
      </c>
      <c r="AF380" t="inlineStr">
        <is>
          <t>Value factor</t>
        </is>
      </c>
      <c r="AG380" t="inlineStr">
        <is>
          <t>Each additional $1,000</t>
        </is>
      </c>
      <c r="AH380" t="inlineStr">
        <is>
          <t>Value factor</t>
        </is>
      </c>
      <c r="AI380" t="inlineStr">
        <is>
          <t>Each additional $1,000</t>
        </is>
      </c>
    </row>
    <row r="381">
      <c r="AA381" t="n">
        <v>50000</v>
      </c>
      <c r="AB381" t="n">
        <v>0.6</v>
      </c>
      <c r="AC381" t="n">
        <v>0.008</v>
      </c>
      <c r="AD381" t="n">
        <v>0.6</v>
      </c>
      <c r="AE381" t="n">
        <v>0.008</v>
      </c>
      <c r="AF381" t="n">
        <v>0.6</v>
      </c>
      <c r="AG381" t="n">
        <v>0.008</v>
      </c>
      <c r="AH381" t="n">
        <v>0.6</v>
      </c>
      <c r="AI381" t="n">
        <v>0.008</v>
      </c>
    </row>
    <row r="382">
      <c r="AA382" t="n">
        <v>100000</v>
      </c>
      <c r="AB382" t="n">
        <v>1</v>
      </c>
      <c r="AC382" t="n">
        <v>0.0115</v>
      </c>
      <c r="AD382" t="n">
        <v>1</v>
      </c>
      <c r="AE382" t="n">
        <v>0.0156</v>
      </c>
      <c r="AF382" t="n">
        <v>1</v>
      </c>
      <c r="AG382" t="n">
        <v>0.0115</v>
      </c>
      <c r="AH382" t="n">
        <v>1</v>
      </c>
      <c r="AI382" t="n">
        <v>0.0156</v>
      </c>
    </row>
    <row r="383">
      <c r="AA383" t="n">
        <v>150000</v>
      </c>
      <c r="AB383" t="n">
        <v>1.575</v>
      </c>
      <c r="AC383" t="n">
        <v>0.0115</v>
      </c>
      <c r="AD383" t="n">
        <v>1.78</v>
      </c>
      <c r="AE383" t="n">
        <v>0.0156</v>
      </c>
      <c r="AF383" t="n">
        <v>1.575</v>
      </c>
      <c r="AG383" t="n">
        <v>0.0115</v>
      </c>
      <c r="AH383" t="n">
        <v>1.78</v>
      </c>
      <c r="AI383" t="n">
        <v>0.0156</v>
      </c>
    </row>
    <row r="384">
      <c r="AA384" t="n">
        <v>300000</v>
      </c>
      <c r="AB384" t="n">
        <v>3.3</v>
      </c>
      <c r="AC384" t="n">
        <v>0.008</v>
      </c>
      <c r="AD384" t="n">
        <v>4.12</v>
      </c>
      <c r="AE384" t="n">
        <v>0.0109</v>
      </c>
      <c r="AF384" t="n">
        <v>3.3</v>
      </c>
      <c r="AG384" t="n">
        <v>0.008</v>
      </c>
      <c r="AH384" t="n">
        <v>4.12</v>
      </c>
      <c r="AI384" t="n">
        <v>0.0109</v>
      </c>
    </row>
    <row r="385">
      <c r="AA385" t="n">
        <v>500000</v>
      </c>
      <c r="AB385" t="n">
        <v>4.9</v>
      </c>
      <c r="AC385" t="n">
        <v>0.0072</v>
      </c>
      <c r="AD385" t="n">
        <v>6.3</v>
      </c>
      <c r="AE385" t="n">
        <v>0.0098</v>
      </c>
      <c r="AF385" t="n">
        <v>4.9</v>
      </c>
      <c r="AG385" t="n">
        <v>0.0072</v>
      </c>
      <c r="AH385" t="n">
        <v>6.3</v>
      </c>
      <c r="AI385" t="n">
        <v>0.0098</v>
      </c>
    </row>
    <row r="386">
      <c r="AA386" t="n">
        <v>700000</v>
      </c>
      <c r="AB386" t="n">
        <v>6.34</v>
      </c>
      <c r="AC386" t="n">
        <v>0.0072</v>
      </c>
      <c r="AD386" t="n">
        <v>8.26</v>
      </c>
      <c r="AE386" t="n">
        <v>0.0098</v>
      </c>
      <c r="AF386" t="n">
        <v>6.34</v>
      </c>
      <c r="AG386" t="n">
        <v>0.0072</v>
      </c>
      <c r="AH386" t="n">
        <v>8.26</v>
      </c>
      <c r="AI386" t="n">
        <v>0.0098</v>
      </c>
    </row>
    <row r="387">
      <c r="AA387" t="n">
        <v>1000000</v>
      </c>
      <c r="AB387" t="n">
        <v>8.5</v>
      </c>
      <c r="AC387" t="n">
        <v>0.007</v>
      </c>
      <c r="AD387" t="n">
        <v>11.2</v>
      </c>
      <c r="AE387" t="n">
        <v>0.0095</v>
      </c>
      <c r="AF387" t="n">
        <v>8.5</v>
      </c>
      <c r="AG387" t="n">
        <v>0.007</v>
      </c>
      <c r="AH387" t="n">
        <v>11.2</v>
      </c>
      <c r="AI387" t="n">
        <v>0.0095</v>
      </c>
    </row>
    <row r="388">
      <c r="AA388" t="n">
        <v>2000000</v>
      </c>
      <c r="AB388" t="n">
        <v>15.5</v>
      </c>
      <c r="AC388" t="n">
        <v>0.007</v>
      </c>
      <c r="AD388" t="n">
        <v>20.7</v>
      </c>
      <c r="AE388" t="n">
        <v>0.0095</v>
      </c>
      <c r="AF388" t="n">
        <v>15.5</v>
      </c>
      <c r="AG388" t="n">
        <v>0.007</v>
      </c>
      <c r="AH388" t="n">
        <v>20.7</v>
      </c>
      <c r="AI388" t="n">
        <v>0.0095</v>
      </c>
    </row>
    <row r="389">
      <c r="AA389" t="n">
        <v>3000000</v>
      </c>
      <c r="AB389" t="n">
        <v>22.5</v>
      </c>
      <c r="AC389" t="n">
        <v>0.007</v>
      </c>
      <c r="AD389" t="n">
        <v>30.2</v>
      </c>
      <c r="AE389" t="n">
        <v>0.0095</v>
      </c>
      <c r="AF389" t="n">
        <v>22.5</v>
      </c>
      <c r="AG389" t="n">
        <v>0.007</v>
      </c>
      <c r="AH389" t="n">
        <v>30.2</v>
      </c>
      <c r="AI389" t="n">
        <v>0.0095</v>
      </c>
    </row>
    <row r="390">
      <c r="AA390" t="n">
        <v>5000000</v>
      </c>
      <c r="AB390" t="n">
        <v>36.5</v>
      </c>
      <c r="AC390" t="n">
        <v>0.006</v>
      </c>
      <c r="AD390" t="n">
        <v>49.2</v>
      </c>
      <c r="AE390" t="n">
        <v>0.008200000000000001</v>
      </c>
      <c r="AF390" t="n">
        <v>36.5</v>
      </c>
      <c r="AG390" t="n">
        <v>0.006</v>
      </c>
      <c r="AH390" t="n">
        <v>49.2</v>
      </c>
      <c r="AI390" t="n">
        <v>0.008200000000000001</v>
      </c>
    </row>
    <row r="391">
      <c r="AA391" t="n">
        <v>7500000</v>
      </c>
      <c r="AB391" t="n">
        <v>51.5</v>
      </c>
      <c r="AC391" t="n">
        <v>0.0055</v>
      </c>
      <c r="AD391" t="n">
        <v>69.7</v>
      </c>
      <c r="AE391" t="n">
        <v>0.0075</v>
      </c>
      <c r="AF391" t="n">
        <v>51.5</v>
      </c>
      <c r="AG391" t="n">
        <v>0.0055</v>
      </c>
      <c r="AH391" t="n">
        <v>69.7</v>
      </c>
      <c r="AI391" t="n">
        <v>0.0075</v>
      </c>
    </row>
    <row r="392">
      <c r="AA392" t="n">
        <v>10000000</v>
      </c>
      <c r="AB392" t="n">
        <v>65.25</v>
      </c>
      <c r="AC392" t="n">
        <v>0.005</v>
      </c>
      <c r="AD392" t="n">
        <v>88.45</v>
      </c>
      <c r="AE392" t="n">
        <v>0.0068</v>
      </c>
      <c r="AF392" t="n">
        <v>65.25</v>
      </c>
      <c r="AG392" t="n">
        <v>0.005</v>
      </c>
      <c r="AH392" t="n">
        <v>88.45</v>
      </c>
      <c r="AI392" t="n">
        <v>0.0068</v>
      </c>
      <c r="AK392" t="inlineStr">
        <is>
          <t>Wind or hail</t>
        </is>
      </c>
      <c r="AL392" t="inlineStr">
        <is>
          <t>Wildfire</t>
        </is>
      </c>
      <c r="AM392" t="inlineStr">
        <is>
          <t>All other perils</t>
        </is>
      </c>
    </row>
    <row r="393">
      <c r="AA393" t="n">
        <v>20000000</v>
      </c>
      <c r="AB393" t="n">
        <v>115.25</v>
      </c>
      <c r="AC393" t="n">
        <v>0.005</v>
      </c>
      <c r="AD393" t="n">
        <v>156.45</v>
      </c>
      <c r="AE393" t="n">
        <v>0.0068</v>
      </c>
      <c r="AF393" t="n">
        <v>115.25</v>
      </c>
      <c r="AG393" t="n">
        <v>0.005</v>
      </c>
      <c r="AH393" t="n">
        <v>156.45</v>
      </c>
      <c r="AI393" t="n">
        <v>0.0068</v>
      </c>
      <c r="AK393">
        <f>VLOOKUP($E$8,$AA$381:$AI$393,2+IF($G$12="B",0),TRUE)+
($E$8-VLOOKUP($E$8,$AA$381:$AI$393,1,TRUE))/1000*
VLOOKUP($E$8,$AA$381:$AI$393,3+IF($G$12="B",0),TRUE)</f>
        <v/>
      </c>
      <c r="AL393">
        <f>VLOOKUP($E$8,$AA$381:$AI$393,6+IF($G$12="B",2),TRUE)+
($E$8-VLOOKUP($E$8,$AA$381:$AI$393,1,TRUE))/1000*
VLOOKUP($E$8,$AA$381:$AI$393,7+IF($G$12="B",2),TRUE)</f>
        <v/>
      </c>
      <c r="AM393">
        <f>VLOOKUP($E$8,$AA$381:$AI$393,2+IF($G$12="B",2),TRUE)+
($E$8-VLOOKUP($E$8,$AA$381:$AI$393,1,TRUE))/1000*
VLOOKUP($E$8,$AA$381:$AI$393,3+IF($G$12="B",2),TRUE)</f>
        <v/>
      </c>
    </row>
    <row r="394">
      <c r="AA394" t="inlineStr">
        <is>
          <t>* Wind or hail only uses fire protection code A factors.</t>
        </is>
      </c>
    </row>
    <row r="396">
      <c r="AB396" t="inlineStr">
        <is>
          <t>Condominium, cooperative or renters</t>
        </is>
      </c>
    </row>
    <row r="397">
      <c r="AB397" t="inlineStr">
        <is>
          <t>Wind or hail and All other perils</t>
        </is>
      </c>
      <c r="AD397" t="inlineStr">
        <is>
          <t>Wildfire</t>
        </is>
      </c>
    </row>
    <row r="398">
      <c r="AA398" t="inlineStr">
        <is>
          <t>Value of contents</t>
        </is>
      </c>
      <c r="AB398" t="inlineStr">
        <is>
          <t>Value factor</t>
        </is>
      </c>
      <c r="AC398" t="inlineStr">
        <is>
          <t>Each additional $1,000</t>
        </is>
      </c>
      <c r="AD398" t="inlineStr">
        <is>
          <t>Value factor</t>
        </is>
      </c>
      <c r="AE398" t="inlineStr">
        <is>
          <t>Each additional $1,000</t>
        </is>
      </c>
    </row>
    <row r="399">
      <c r="AA399" t="n">
        <v>15000</v>
      </c>
      <c r="AB399" t="n">
        <v>0.5</v>
      </c>
      <c r="AC399" t="n">
        <v>0.02</v>
      </c>
      <c r="AD399" t="n">
        <v>0.5</v>
      </c>
      <c r="AE399" t="n">
        <v>0.02</v>
      </c>
    </row>
    <row r="400">
      <c r="AA400" t="n">
        <v>40000</v>
      </c>
      <c r="AB400" t="n">
        <v>1</v>
      </c>
      <c r="AC400" t="n">
        <v>0.028</v>
      </c>
      <c r="AD400" t="n">
        <v>1</v>
      </c>
      <c r="AE400" t="n">
        <v>0.028</v>
      </c>
    </row>
    <row r="401">
      <c r="AA401" t="inlineStr">
        <is>
          <t>150,000+</t>
        </is>
      </c>
      <c r="AB401" t="n">
        <v>4.08</v>
      </c>
      <c r="AC401" t="n">
        <v>0.0248</v>
      </c>
      <c r="AD401" t="n">
        <v>4.08</v>
      </c>
      <c r="AE401" t="n">
        <v>0.0248</v>
      </c>
    </row>
    <row r="403">
      <c r="AA403" s="17" t="inlineStr">
        <is>
          <t>Southern California value factors</t>
        </is>
      </c>
    </row>
    <row r="404">
      <c r="AB404" t="inlineStr">
        <is>
          <t>House</t>
        </is>
      </c>
    </row>
    <row r="405">
      <c r="AB405" t="inlineStr">
        <is>
          <t>Wind or hail and All other perils</t>
        </is>
      </c>
      <c r="AF405" t="inlineStr">
        <is>
          <t>Wildfire</t>
        </is>
      </c>
    </row>
    <row r="406">
      <c r="AB406" t="inlineStr">
        <is>
          <t>Fire protection code A</t>
        </is>
      </c>
      <c r="AD406" t="inlineStr">
        <is>
          <t>Fire protection code B</t>
        </is>
      </c>
      <c r="AF406" t="inlineStr">
        <is>
          <t>Fiure protection code A</t>
        </is>
      </c>
      <c r="AH406" t="inlineStr">
        <is>
          <t>Fire protection code B</t>
        </is>
      </c>
    </row>
    <row r="407">
      <c r="AA407" t="inlineStr">
        <is>
          <t>Value of building</t>
        </is>
      </c>
      <c r="AB407" t="inlineStr">
        <is>
          <t>Value factor</t>
        </is>
      </c>
      <c r="AC407" t="inlineStr">
        <is>
          <t>Each additional $1,000</t>
        </is>
      </c>
      <c r="AD407" t="inlineStr">
        <is>
          <t>Value factor</t>
        </is>
      </c>
      <c r="AE407" t="inlineStr">
        <is>
          <t>Each additional $1,000</t>
        </is>
      </c>
      <c r="AF407" t="inlineStr">
        <is>
          <t>Value factor</t>
        </is>
      </c>
      <c r="AG407" t="inlineStr">
        <is>
          <t>Each additional $1,000</t>
        </is>
      </c>
      <c r="AH407" t="inlineStr">
        <is>
          <t>Value factor</t>
        </is>
      </c>
      <c r="AI407" t="inlineStr">
        <is>
          <t>Each additional $1,000</t>
        </is>
      </c>
    </row>
    <row r="408">
      <c r="AA408" t="n">
        <v>50000</v>
      </c>
      <c r="AB408" t="n">
        <v>0.6</v>
      </c>
      <c r="AC408" t="n">
        <v>0.008</v>
      </c>
      <c r="AD408" t="n">
        <v>0.6</v>
      </c>
      <c r="AE408" t="n">
        <v>0.008</v>
      </c>
      <c r="AF408" t="n">
        <v>0.6</v>
      </c>
      <c r="AG408" t="n">
        <v>0.008</v>
      </c>
      <c r="AH408" t="n">
        <v>0.6</v>
      </c>
      <c r="AI408" t="n">
        <v>0.008</v>
      </c>
    </row>
    <row r="409">
      <c r="AA409" t="n">
        <v>100000</v>
      </c>
      <c r="AB409" t="n">
        <v>1</v>
      </c>
      <c r="AC409" t="n">
        <v>0.0115</v>
      </c>
      <c r="AD409" t="n">
        <v>1</v>
      </c>
      <c r="AE409" t="n">
        <v>0.0156</v>
      </c>
      <c r="AF409" t="n">
        <v>1</v>
      </c>
      <c r="AG409" t="n">
        <v>0.0115</v>
      </c>
      <c r="AH409" t="n">
        <v>1</v>
      </c>
      <c r="AI409" t="n">
        <v>0.0156</v>
      </c>
    </row>
    <row r="410">
      <c r="AA410" t="n">
        <v>150000</v>
      </c>
      <c r="AB410" t="n">
        <v>1.575</v>
      </c>
      <c r="AC410" t="n">
        <v>0.0115</v>
      </c>
      <c r="AD410" t="n">
        <v>1.78</v>
      </c>
      <c r="AE410" t="n">
        <v>0.0156</v>
      </c>
      <c r="AF410" t="n">
        <v>1.575</v>
      </c>
      <c r="AG410" t="n">
        <v>0.0115</v>
      </c>
      <c r="AH410" t="n">
        <v>1.78</v>
      </c>
      <c r="AI410" t="n">
        <v>0.0156</v>
      </c>
    </row>
    <row r="411">
      <c r="AA411" t="n">
        <v>300000</v>
      </c>
      <c r="AB411" t="n">
        <v>3.3</v>
      </c>
      <c r="AC411" t="n">
        <v>0.008</v>
      </c>
      <c r="AD411" t="n">
        <v>4.12</v>
      </c>
      <c r="AE411" t="n">
        <v>0.0109</v>
      </c>
      <c r="AF411" t="n">
        <v>3.3</v>
      </c>
      <c r="AG411" t="n">
        <v>0.008</v>
      </c>
      <c r="AH411" t="n">
        <v>4.12</v>
      </c>
      <c r="AI411" t="n">
        <v>0.0109</v>
      </c>
    </row>
    <row r="412">
      <c r="AA412" t="n">
        <v>500000</v>
      </c>
      <c r="AB412" t="n">
        <v>4.9</v>
      </c>
      <c r="AC412" t="n">
        <v>0.0072</v>
      </c>
      <c r="AD412" t="n">
        <v>6.3</v>
      </c>
      <c r="AE412" t="n">
        <v>0.0098</v>
      </c>
      <c r="AF412" t="n">
        <v>4.9</v>
      </c>
      <c r="AG412" t="n">
        <v>0.0072</v>
      </c>
      <c r="AH412" t="n">
        <v>6.3</v>
      </c>
      <c r="AI412" t="n">
        <v>0.0098</v>
      </c>
    </row>
    <row r="413">
      <c r="AA413" t="n">
        <v>700000</v>
      </c>
      <c r="AB413" t="n">
        <v>6.34</v>
      </c>
      <c r="AC413" t="n">
        <v>0.0072</v>
      </c>
      <c r="AD413" t="n">
        <v>8.26</v>
      </c>
      <c r="AE413" t="n">
        <v>0.0098</v>
      </c>
      <c r="AF413" t="n">
        <v>6.34</v>
      </c>
      <c r="AG413" t="n">
        <v>0.0072</v>
      </c>
      <c r="AH413" t="n">
        <v>8.26</v>
      </c>
      <c r="AI413" t="n">
        <v>0.0098</v>
      </c>
    </row>
    <row r="414">
      <c r="AA414" t="n">
        <v>1000000</v>
      </c>
      <c r="AB414" t="n">
        <v>8.5</v>
      </c>
      <c r="AC414" t="n">
        <v>0.007</v>
      </c>
      <c r="AD414" t="n">
        <v>11.2</v>
      </c>
      <c r="AE414" t="n">
        <v>0.0095</v>
      </c>
      <c r="AF414" t="n">
        <v>8.5</v>
      </c>
      <c r="AG414" t="n">
        <v>0.007</v>
      </c>
      <c r="AH414" t="n">
        <v>11.2</v>
      </c>
      <c r="AI414" t="n">
        <v>0.0095</v>
      </c>
    </row>
    <row r="415">
      <c r="AA415" t="n">
        <v>2000000</v>
      </c>
      <c r="AB415" t="n">
        <v>15.5</v>
      </c>
      <c r="AC415" t="n">
        <v>0.007</v>
      </c>
      <c r="AD415" t="n">
        <v>20.7</v>
      </c>
      <c r="AE415" t="n">
        <v>0.0095</v>
      </c>
      <c r="AF415" t="n">
        <v>15.5</v>
      </c>
      <c r="AG415" t="n">
        <v>0.007</v>
      </c>
      <c r="AH415" t="n">
        <v>20.7</v>
      </c>
      <c r="AI415" t="n">
        <v>0.0095</v>
      </c>
    </row>
    <row r="416">
      <c r="AA416" t="n">
        <v>3000000</v>
      </c>
      <c r="AB416" t="n">
        <v>22.5</v>
      </c>
      <c r="AC416" t="n">
        <v>0.007</v>
      </c>
      <c r="AD416" t="n">
        <v>30.2</v>
      </c>
      <c r="AE416" t="n">
        <v>0.0095</v>
      </c>
      <c r="AF416" t="n">
        <v>22.5</v>
      </c>
      <c r="AG416" t="n">
        <v>0.007</v>
      </c>
      <c r="AH416" t="n">
        <v>30.2</v>
      </c>
      <c r="AI416" t="n">
        <v>0.0095</v>
      </c>
    </row>
    <row r="417">
      <c r="AA417" t="n">
        <v>5000000</v>
      </c>
      <c r="AB417" t="n">
        <v>36.5</v>
      </c>
      <c r="AC417" t="n">
        <v>0.006</v>
      </c>
      <c r="AD417" t="n">
        <v>49.2</v>
      </c>
      <c r="AE417" t="n">
        <v>0.008200000000000001</v>
      </c>
      <c r="AF417" t="n">
        <v>36.5</v>
      </c>
      <c r="AG417" t="n">
        <v>0.006</v>
      </c>
      <c r="AH417" t="n">
        <v>49.2</v>
      </c>
      <c r="AI417" t="n">
        <v>0.008200000000000001</v>
      </c>
    </row>
    <row r="418">
      <c r="AA418" t="n">
        <v>7500000</v>
      </c>
      <c r="AB418" t="n">
        <v>51.5</v>
      </c>
      <c r="AC418" t="n">
        <v>0.0055</v>
      </c>
      <c r="AD418" t="n">
        <v>69.7</v>
      </c>
      <c r="AE418" t="n">
        <v>0.0075</v>
      </c>
      <c r="AF418" t="n">
        <v>51.5</v>
      </c>
      <c r="AG418" t="n">
        <v>0.0055</v>
      </c>
      <c r="AH418" t="n">
        <v>69.7</v>
      </c>
      <c r="AI418" t="n">
        <v>0.0075</v>
      </c>
    </row>
    <row r="419">
      <c r="AA419" t="n">
        <v>10000000</v>
      </c>
      <c r="AB419" t="n">
        <v>65.25</v>
      </c>
      <c r="AC419" t="n">
        <v>0.005</v>
      </c>
      <c r="AD419" t="n">
        <v>88.45</v>
      </c>
      <c r="AE419" t="n">
        <v>0.0068</v>
      </c>
      <c r="AF419" t="n">
        <v>65.25</v>
      </c>
      <c r="AG419" t="n">
        <v>0.005</v>
      </c>
      <c r="AH419" t="n">
        <v>88.45</v>
      </c>
      <c r="AI419" t="n">
        <v>0.0068</v>
      </c>
      <c r="AK419" t="inlineStr">
        <is>
          <t>Wind or hail</t>
        </is>
      </c>
      <c r="AL419" t="inlineStr">
        <is>
          <t>Wildfire</t>
        </is>
      </c>
      <c r="AM419" t="inlineStr">
        <is>
          <t>All other perils</t>
        </is>
      </c>
    </row>
    <row r="420">
      <c r="AA420" t="n">
        <v>20000000</v>
      </c>
      <c r="AB420" t="n">
        <v>115.25</v>
      </c>
      <c r="AC420" t="n">
        <v>0.005</v>
      </c>
      <c r="AD420" t="n">
        <v>156.45</v>
      </c>
      <c r="AE420" t="n">
        <v>0.0068</v>
      </c>
      <c r="AF420" t="n">
        <v>115.25</v>
      </c>
      <c r="AG420" t="n">
        <v>0.005</v>
      </c>
      <c r="AH420" t="n">
        <v>156.45</v>
      </c>
      <c r="AI420" t="n">
        <v>0.0068</v>
      </c>
      <c r="AK420">
        <f>VLOOKUP($E$8,$AA$408:$AI$420,2+IF($G$12="B",0),TRUE)+
($E$8-VLOOKUP($E$8,$AA$408:$AI$420,1,TRUE))/1000*
VLOOKUP($E$8,$AA$408:$AI$420,3+IF($G$12="B",0),TRUE)</f>
        <v/>
      </c>
      <c r="AL420">
        <f>VLOOKUP($E$8,$AA$408:$AI$420,6+IF($G$12="B",2),TRUE)+
($E$8-VLOOKUP($E$8,$AA$408:$AI$420,1,TRUE))/1000*
VLOOKUP($E$8,$AA$408:$AI$420,7+IF($G$12="B",2),TRUE)</f>
        <v/>
      </c>
      <c r="AM420">
        <f>VLOOKUP($E$8,$AA$408:$AI$420,2+IF($G$12="B",2),TRUE)+
($E$8-VLOOKUP($E$8,$AA$408:$AI$420,1,TRUE))/1000*
VLOOKUP($E$8,$AA$408:$AI$420,3+IF($G$12="B",2),TRUE)</f>
        <v/>
      </c>
    </row>
    <row r="421">
      <c r="AA421" t="inlineStr">
        <is>
          <t>* Wind or hail only uses fire protection code A factors.</t>
        </is>
      </c>
    </row>
    <row r="423">
      <c r="AB423" t="inlineStr">
        <is>
          <t>Condominium, cooperative or renters</t>
        </is>
      </c>
    </row>
    <row r="424">
      <c r="AB424" t="inlineStr">
        <is>
          <t>Wind or hail and All other perils</t>
        </is>
      </c>
      <c r="AD424" t="inlineStr">
        <is>
          <t>Wildfire</t>
        </is>
      </c>
    </row>
    <row r="425">
      <c r="AA425" t="inlineStr">
        <is>
          <t>Value of contents</t>
        </is>
      </c>
      <c r="AB425" t="inlineStr">
        <is>
          <t>Value factor</t>
        </is>
      </c>
      <c r="AC425" t="inlineStr">
        <is>
          <t>Each additional $1,000</t>
        </is>
      </c>
      <c r="AD425" t="inlineStr">
        <is>
          <t>Value factor</t>
        </is>
      </c>
      <c r="AE425" t="inlineStr">
        <is>
          <t>Each additional $1,000</t>
        </is>
      </c>
    </row>
    <row r="426">
      <c r="AA426" t="n">
        <v>15000</v>
      </c>
      <c r="AB426" t="n">
        <v>0.5</v>
      </c>
      <c r="AC426" t="n">
        <v>0.02</v>
      </c>
      <c r="AD426" t="n">
        <v>0.5</v>
      </c>
      <c r="AE426" t="n">
        <v>0.02</v>
      </c>
    </row>
    <row r="427">
      <c r="AA427" t="n">
        <v>40000</v>
      </c>
      <c r="AB427" t="n">
        <v>1</v>
      </c>
      <c r="AC427" t="n">
        <v>0.028</v>
      </c>
      <c r="AD427" t="n">
        <v>1</v>
      </c>
      <c r="AE427" t="n">
        <v>0.028</v>
      </c>
    </row>
    <row r="428">
      <c r="AA428" t="inlineStr">
        <is>
          <t>150,000+</t>
        </is>
      </c>
      <c r="AB428" t="n">
        <v>4.08</v>
      </c>
      <c r="AC428" t="n">
        <v>0.0248</v>
      </c>
      <c r="AD428" t="n">
        <v>4.08</v>
      </c>
      <c r="AE428" t="n">
        <v>0.0248</v>
      </c>
    </row>
    <row r="430">
      <c r="AA430" s="17" t="inlineStr">
        <is>
          <t>Deductible factor charts</t>
        </is>
      </c>
    </row>
    <row r="431">
      <c r="AA431" s="17" t="inlineStr">
        <is>
          <t>Base deductible factor charts – All other perils</t>
        </is>
      </c>
    </row>
    <row r="432">
      <c r="AB432" t="inlineStr">
        <is>
          <t>House</t>
        </is>
      </c>
    </row>
    <row r="433">
      <c r="AB433" t="inlineStr">
        <is>
          <t>Base deductible</t>
        </is>
      </c>
    </row>
    <row r="434">
      <c r="AA434" t="inlineStr">
        <is>
          <t>Value of building</t>
        </is>
      </c>
      <c r="AB434" t="n">
        <v>250</v>
      </c>
      <c r="AC434" t="n">
        <v>500</v>
      </c>
      <c r="AD434" t="n">
        <v>1000</v>
      </c>
      <c r="AE434" t="n">
        <v>2500</v>
      </c>
      <c r="AF434" t="n">
        <v>5000</v>
      </c>
      <c r="AG434" t="n">
        <v>7500</v>
      </c>
      <c r="AH434" t="n">
        <v>10000</v>
      </c>
      <c r="AI434" t="n">
        <v>25000</v>
      </c>
      <c r="AJ434" t="n">
        <v>50000</v>
      </c>
      <c r="AK434" t="n">
        <v>100000</v>
      </c>
    </row>
    <row r="435">
      <c r="AA435" t="n">
        <v>50000</v>
      </c>
      <c r="AB435" t="n">
        <v>1.175</v>
      </c>
      <c r="AC435" t="n">
        <v>1.02</v>
      </c>
      <c r="AD435" t="n">
        <v>0.92</v>
      </c>
      <c r="AE435" t="n">
        <v>0.765</v>
      </c>
      <c r="AF435" t="n">
        <v>0.645</v>
      </c>
      <c r="AG435" t="n">
        <v>0.62</v>
      </c>
      <c r="AH435" t="n">
        <v>0.605</v>
      </c>
      <c r="AI435" t="n">
        <v>0.545</v>
      </c>
      <c r="AJ435" t="n">
        <v>0.52</v>
      </c>
      <c r="AK435" t="n">
        <v>0.335</v>
      </c>
    </row>
    <row r="436">
      <c r="AA436" t="n">
        <v>500000</v>
      </c>
      <c r="AB436" t="n">
        <v>1.175</v>
      </c>
      <c r="AC436" t="n">
        <v>1.02</v>
      </c>
      <c r="AD436" t="n">
        <v>0.92</v>
      </c>
      <c r="AE436" t="n">
        <v>0.765</v>
      </c>
      <c r="AF436" t="n">
        <v>0.645</v>
      </c>
      <c r="AG436" t="n">
        <v>0.62</v>
      </c>
      <c r="AH436" t="n">
        <v>0.605</v>
      </c>
      <c r="AI436" t="n">
        <v>0.545</v>
      </c>
      <c r="AJ436" t="n">
        <v>0.52</v>
      </c>
      <c r="AK436" t="n">
        <v>0.335</v>
      </c>
    </row>
    <row r="437">
      <c r="AA437" t="n">
        <v>1000000</v>
      </c>
      <c r="AB437" t="n">
        <v>1.195</v>
      </c>
      <c r="AC437" t="n">
        <v>1.04</v>
      </c>
      <c r="AD437" t="n">
        <v>0.96</v>
      </c>
      <c r="AE437" t="n">
        <v>0.775</v>
      </c>
      <c r="AF437" t="n">
        <v>0.66</v>
      </c>
      <c r="AG437" t="n">
        <v>0.64</v>
      </c>
      <c r="AH437" t="n">
        <v>0.625</v>
      </c>
      <c r="AI437" t="n">
        <v>0.575</v>
      </c>
      <c r="AJ437" t="n">
        <v>0.555</v>
      </c>
      <c r="AK437" t="n">
        <v>0.365</v>
      </c>
    </row>
    <row r="438">
      <c r="AA438" t="n">
        <v>3000000</v>
      </c>
      <c r="AB438" t="n">
        <v>1.225</v>
      </c>
      <c r="AC438" t="n">
        <v>1.075</v>
      </c>
      <c r="AD438" t="n">
        <v>1.03</v>
      </c>
      <c r="AE438" t="n">
        <v>0.89</v>
      </c>
      <c r="AF438" t="n">
        <v>0.68</v>
      </c>
      <c r="AG438" t="n">
        <v>0.67</v>
      </c>
      <c r="AH438" t="n">
        <v>0.66</v>
      </c>
      <c r="AI438" t="n">
        <v>0.605</v>
      </c>
      <c r="AJ438" t="n">
        <v>0.58</v>
      </c>
      <c r="AK438" t="n">
        <v>0.435</v>
      </c>
    </row>
    <row r="439">
      <c r="AA439" t="n">
        <v>5000000</v>
      </c>
      <c r="AB439" t="n">
        <v>1.26</v>
      </c>
      <c r="AC439" t="n">
        <v>1.105</v>
      </c>
      <c r="AD439" t="n">
        <v>1.065</v>
      </c>
      <c r="AE439" t="n">
        <v>0.95</v>
      </c>
      <c r="AF439" t="n">
        <v>0.86</v>
      </c>
      <c r="AG439" t="n">
        <v>0.85</v>
      </c>
      <c r="AH439" t="n">
        <v>0.84</v>
      </c>
      <c r="AI439" t="n">
        <v>0.655</v>
      </c>
      <c r="AJ439" t="n">
        <v>0.625</v>
      </c>
      <c r="AK439" t="n">
        <v>0.525</v>
      </c>
    </row>
    <row r="440">
      <c r="AA440" t="n">
        <v>7500000</v>
      </c>
      <c r="AB440" t="n">
        <v>1.305</v>
      </c>
      <c r="AC440" t="n">
        <v>1.15</v>
      </c>
      <c r="AD440" t="n">
        <v>1.095</v>
      </c>
      <c r="AE440" t="n">
        <v>1.055</v>
      </c>
      <c r="AF440" t="n">
        <v>0.97</v>
      </c>
      <c r="AG440" t="n">
        <v>0.96</v>
      </c>
      <c r="AH440" t="n">
        <v>0.955</v>
      </c>
      <c r="AI440" t="n">
        <v>0.9350000000000001</v>
      </c>
      <c r="AJ440" t="n">
        <v>0.93</v>
      </c>
      <c r="AK440" t="n">
        <v>0.755</v>
      </c>
    </row>
    <row r="441">
      <c r="AA441" t="inlineStr">
        <is>
          <t>We interpolate between the closest lower and higher listed values where applicable.</t>
        </is>
      </c>
    </row>
    <row r="443">
      <c r="AA443" s="17" t="inlineStr">
        <is>
          <t>Base deductible factor charts - All other perils and Wind or Hail</t>
        </is>
      </c>
    </row>
    <row r="444">
      <c r="AB444" t="inlineStr">
        <is>
          <t>Condominium, cooperative or renters</t>
        </is>
      </c>
    </row>
    <row r="445">
      <c r="AB445" t="inlineStr">
        <is>
          <t>Base deductible</t>
        </is>
      </c>
    </row>
    <row r="446">
      <c r="AA446" t="inlineStr">
        <is>
          <t>Value of contents and A&amp;A combined</t>
        </is>
      </c>
      <c r="AB446" t="n">
        <v>250</v>
      </c>
      <c r="AC446" t="n">
        <v>500</v>
      </c>
      <c r="AD446" t="n">
        <v>1000</v>
      </c>
      <c r="AE446" t="n">
        <v>2500</v>
      </c>
      <c r="AF446" t="n">
        <v>5000</v>
      </c>
      <c r="AG446" t="n">
        <v>7500</v>
      </c>
      <c r="AH446" t="n">
        <v>10000</v>
      </c>
      <c r="AI446" t="n">
        <v>25000</v>
      </c>
      <c r="AJ446" t="n">
        <v>50000</v>
      </c>
      <c r="AK446" t="n">
        <v>100000</v>
      </c>
    </row>
    <row r="447">
      <c r="AA447" t="n">
        <v>50000</v>
      </c>
      <c r="AB447" t="n">
        <v>1.3</v>
      </c>
      <c r="AC447" t="n">
        <v>1.04</v>
      </c>
      <c r="AD447" t="n">
        <v>0.92</v>
      </c>
      <c r="AE447" t="n">
        <v>0.795</v>
      </c>
      <c r="AF447" t="n">
        <v>0.6850000000000001</v>
      </c>
      <c r="AG447" t="n">
        <v>0.65</v>
      </c>
      <c r="AH447" t="n">
        <v>0.625</v>
      </c>
      <c r="AI447" t="n">
        <v>0.545</v>
      </c>
      <c r="AJ447" t="n">
        <v>0.445</v>
      </c>
      <c r="AK447" t="n">
        <v>0.285</v>
      </c>
    </row>
    <row r="448">
      <c r="AA448" t="n">
        <v>500000</v>
      </c>
      <c r="AB448" t="n">
        <v>1.3</v>
      </c>
      <c r="AC448" t="n">
        <v>1.04</v>
      </c>
      <c r="AD448" t="n">
        <v>0.92</v>
      </c>
      <c r="AE448" t="n">
        <v>0.795</v>
      </c>
      <c r="AF448" t="n">
        <v>0.6850000000000001</v>
      </c>
      <c r="AG448" t="n">
        <v>0.65</v>
      </c>
      <c r="AH448" t="n">
        <v>0.625</v>
      </c>
      <c r="AI448" t="n">
        <v>0.545</v>
      </c>
      <c r="AJ448" t="n">
        <v>0.445</v>
      </c>
      <c r="AK448" t="n">
        <v>0.285</v>
      </c>
    </row>
    <row r="449">
      <c r="AA449" t="n">
        <v>1000000</v>
      </c>
      <c r="AB449" t="n">
        <v>1.32</v>
      </c>
      <c r="AC449" t="n">
        <v>1.06</v>
      </c>
      <c r="AD449" t="n">
        <v>0.96</v>
      </c>
      <c r="AE449" t="n">
        <v>0.805</v>
      </c>
      <c r="AF449" t="n">
        <v>0.715</v>
      </c>
      <c r="AG449" t="n">
        <v>0.695</v>
      </c>
      <c r="AH449" t="n">
        <v>0.68</v>
      </c>
      <c r="AI449" t="n">
        <v>0.59</v>
      </c>
      <c r="AJ449" t="n">
        <v>0.46</v>
      </c>
      <c r="AK449" t="n">
        <v>0.35</v>
      </c>
    </row>
    <row r="450">
      <c r="AA450" t="n">
        <v>2500000</v>
      </c>
      <c r="AB450" t="n">
        <v>1.34</v>
      </c>
      <c r="AC450" t="n">
        <v>1.08</v>
      </c>
      <c r="AD450" t="n">
        <v>1.015</v>
      </c>
      <c r="AE450" t="n">
        <v>0.945</v>
      </c>
      <c r="AF450" t="n">
        <v>0.74</v>
      </c>
      <c r="AG450" t="n">
        <v>0.73</v>
      </c>
      <c r="AH450" t="n">
        <v>0.72</v>
      </c>
      <c r="AI450" t="n">
        <v>0.61</v>
      </c>
      <c r="AJ450" t="n">
        <v>0.49</v>
      </c>
      <c r="AK450" t="n">
        <v>0.39</v>
      </c>
    </row>
    <row r="451">
      <c r="AA451" t="n">
        <v>5000000</v>
      </c>
      <c r="AB451" t="n">
        <v>1.385</v>
      </c>
      <c r="AC451" t="n">
        <v>1.12</v>
      </c>
      <c r="AD451" t="n">
        <v>1.065</v>
      </c>
      <c r="AE451" t="n">
        <v>0.98</v>
      </c>
      <c r="AF451" t="n">
        <v>0.9</v>
      </c>
      <c r="AG451" t="n">
        <v>0.89</v>
      </c>
      <c r="AH451" t="n">
        <v>0.88</v>
      </c>
      <c r="AI451" t="n">
        <v>0.635</v>
      </c>
      <c r="AJ451" t="n">
        <v>0.525</v>
      </c>
      <c r="AK451" t="n">
        <v>0.44</v>
      </c>
    </row>
    <row r="452">
      <c r="AA452" t="n">
        <v>7500000</v>
      </c>
      <c r="AB452" t="n">
        <v>1.43</v>
      </c>
      <c r="AC452" t="n">
        <v>1.165</v>
      </c>
      <c r="AD452" t="n">
        <v>1.095</v>
      </c>
      <c r="AE452" t="n">
        <v>1.085</v>
      </c>
      <c r="AF452" t="n">
        <v>1.01</v>
      </c>
      <c r="AG452" t="n">
        <v>1.005</v>
      </c>
      <c r="AH452" t="n">
        <v>0.995</v>
      </c>
      <c r="AI452" t="n">
        <v>0.975</v>
      </c>
      <c r="AJ452" t="n">
        <v>0.8100000000000001</v>
      </c>
      <c r="AK452" t="n">
        <v>0.7</v>
      </c>
    </row>
    <row r="453">
      <c r="AA453" t="inlineStr">
        <is>
          <t>We interpolate between the closest lower and higher listed values where applicable.</t>
        </is>
      </c>
    </row>
    <row r="455">
      <c r="AA455" s="17" t="inlineStr">
        <is>
          <t>Brush fire or wildfire deductible chart</t>
        </is>
      </c>
    </row>
    <row r="456">
      <c r="AA456" s="17" t="inlineStr">
        <is>
          <t>Base deductible factor chart – Brush fire or wildfire</t>
        </is>
      </c>
    </row>
    <row r="457">
      <c r="AB457" t="inlineStr">
        <is>
          <t>House</t>
        </is>
      </c>
    </row>
    <row r="458">
      <c r="AA458" t="inlineStr">
        <is>
          <t>Value of building or value of contents and A&amp;A combined</t>
        </is>
      </c>
      <c r="AB458" t="n">
        <v>250</v>
      </c>
      <c r="AC458" t="n">
        <v>500</v>
      </c>
      <c r="AD458" t="n">
        <v>1000</v>
      </c>
      <c r="AE458" t="n">
        <v>2500</v>
      </c>
      <c r="AF458" t="n">
        <v>5000</v>
      </c>
      <c r="AG458" t="n">
        <v>7500</v>
      </c>
      <c r="AH458" t="n">
        <v>10000</v>
      </c>
      <c r="AI458" t="n">
        <v>25000</v>
      </c>
      <c r="AJ458" t="n">
        <v>50000</v>
      </c>
      <c r="AK458" t="n">
        <v>100000</v>
      </c>
    </row>
    <row r="459">
      <c r="AA459" t="n">
        <v>15000</v>
      </c>
      <c r="AB459" t="n">
        <v>1.15</v>
      </c>
      <c r="AC459" t="n">
        <v>1.034</v>
      </c>
      <c r="AD459" t="n">
        <v>0.918</v>
      </c>
      <c r="AE459" t="n">
        <v>0.86</v>
      </c>
      <c r="AF459" t="n">
        <v>0.825</v>
      </c>
      <c r="AG459" t="n">
        <v>0.8110000000000001</v>
      </c>
      <c r="AH459" t="n">
        <v>0.787</v>
      </c>
      <c r="AI459" t="n">
        <v>0.641</v>
      </c>
      <c r="AJ459" t="n">
        <v>0.4</v>
      </c>
      <c r="AK459" t="n">
        <v>0.35</v>
      </c>
    </row>
    <row r="460">
      <c r="AA460" t="n">
        <v>50000</v>
      </c>
      <c r="AB460" t="n">
        <v>1.2</v>
      </c>
      <c r="AC460" t="n">
        <v>1.034</v>
      </c>
      <c r="AD460" t="n">
        <v>0.918</v>
      </c>
      <c r="AE460" t="n">
        <v>0.86</v>
      </c>
      <c r="AF460" t="n">
        <v>0.825</v>
      </c>
      <c r="AG460" t="n">
        <v>0.8110000000000001</v>
      </c>
      <c r="AH460" t="n">
        <v>0.787</v>
      </c>
      <c r="AI460" t="n">
        <v>0.641</v>
      </c>
      <c r="AJ460" t="n">
        <v>0.4</v>
      </c>
      <c r="AK460" t="n">
        <v>0.35</v>
      </c>
    </row>
    <row r="461">
      <c r="AA461" t="n">
        <v>500000</v>
      </c>
      <c r="AB461" t="n">
        <v>1.25</v>
      </c>
      <c r="AC461" t="n">
        <v>1.077</v>
      </c>
      <c r="AD461" t="n">
        <v>0.991</v>
      </c>
      <c r="AE461" t="n">
        <v>0.972</v>
      </c>
      <c r="AF461" t="n">
        <v>0.947</v>
      </c>
      <c r="AG461" t="n">
        <v>0.931</v>
      </c>
      <c r="AH461" t="n">
        <v>0.918</v>
      </c>
      <c r="AI461" t="n">
        <v>0.86</v>
      </c>
      <c r="AJ461" t="n">
        <v>0.835</v>
      </c>
      <c r="AK461" t="n">
        <v>0.786</v>
      </c>
    </row>
    <row r="462">
      <c r="AA462" t="n">
        <v>1000000</v>
      </c>
      <c r="AB462" t="n">
        <v>1.3</v>
      </c>
      <c r="AC462" t="n">
        <v>1.12</v>
      </c>
      <c r="AD462" t="n">
        <v>1</v>
      </c>
      <c r="AE462" t="n">
        <v>0.987</v>
      </c>
      <c r="AF462" t="n">
        <v>0.972</v>
      </c>
      <c r="AG462" t="n">
        <v>0.96</v>
      </c>
      <c r="AH462" t="n">
        <v>0.947</v>
      </c>
      <c r="AI462" t="n">
        <v>0.901</v>
      </c>
      <c r="AJ462" t="n">
        <v>0.86</v>
      </c>
      <c r="AK462" t="n">
        <v>0.835</v>
      </c>
    </row>
    <row r="463">
      <c r="AA463" t="n">
        <v>3000000</v>
      </c>
      <c r="AB463" t="n">
        <v>1.33</v>
      </c>
      <c r="AC463" t="n">
        <v>1.146</v>
      </c>
      <c r="AD463" t="n">
        <v>1.006</v>
      </c>
      <c r="AE463" t="n">
        <v>1.001</v>
      </c>
      <c r="AF463" t="n">
        <v>0.994</v>
      </c>
      <c r="AG463" t="n">
        <v>0.987</v>
      </c>
      <c r="AH463" t="n">
        <v>0.981</v>
      </c>
      <c r="AI463" t="n">
        <v>0.956</v>
      </c>
      <c r="AJ463" t="n">
        <v>0.926</v>
      </c>
      <c r="AK463" t="n">
        <v>0.887</v>
      </c>
    </row>
    <row r="464">
      <c r="AA464" t="n">
        <v>5000000</v>
      </c>
      <c r="AB464" t="n">
        <v>1.36</v>
      </c>
      <c r="AC464" t="n">
        <v>1.172</v>
      </c>
      <c r="AD464" t="n">
        <v>1.008</v>
      </c>
      <c r="AE464" t="n">
        <v>1.005</v>
      </c>
      <c r="AF464" t="n">
        <v>1</v>
      </c>
      <c r="AG464" t="n">
        <v>0.995</v>
      </c>
      <c r="AH464" t="n">
        <v>0.991</v>
      </c>
      <c r="AI464" t="n">
        <v>0.972</v>
      </c>
      <c r="AJ464" t="n">
        <v>0.947</v>
      </c>
      <c r="AK464" t="n">
        <v>0.918</v>
      </c>
    </row>
    <row r="465">
      <c r="AA465" t="n">
        <v>7500000</v>
      </c>
      <c r="AB465" t="n">
        <v>1.4</v>
      </c>
      <c r="AC465" t="n">
        <v>1.206</v>
      </c>
      <c r="AD465" t="n">
        <v>1.009</v>
      </c>
      <c r="AE465" t="n">
        <v>1.006</v>
      </c>
      <c r="AF465" t="n">
        <v>1.003</v>
      </c>
      <c r="AG465" t="n">
        <v>1</v>
      </c>
      <c r="AH465" t="n">
        <v>0.997</v>
      </c>
      <c r="AI465" t="n">
        <v>0.981</v>
      </c>
      <c r="AJ465" t="n">
        <v>0.964</v>
      </c>
      <c r="AK465" t="n">
        <v>0.9360000000000001</v>
      </c>
    </row>
    <row r="466">
      <c r="AA466" t="inlineStr">
        <is>
          <t>We interpolate between the closest lower and higher listed values where applicable.</t>
        </is>
      </c>
    </row>
    <row r="468">
      <c r="AA468" s="17" t="inlineStr">
        <is>
          <t>Wind or hail deductible charts</t>
        </is>
      </c>
    </row>
    <row r="469">
      <c r="AA469" t="inlineStr">
        <is>
          <t>If the dollar amount of the base deductible is greater than the dollar amount of the wind or hail deductible, or no wind or hail deductible applies, use the appropriate factor from the base deductible factor chart – wind or hail.</t>
        </is>
      </c>
    </row>
    <row r="470">
      <c r="AA470" s="17" t="inlineStr">
        <is>
          <t>Base deductible factor chart – Wind or hail</t>
        </is>
      </c>
    </row>
    <row r="471">
      <c r="AB471" t="inlineStr">
        <is>
          <t>Base deductible</t>
        </is>
      </c>
    </row>
    <row r="472">
      <c r="AA472" t="inlineStr">
        <is>
          <t>Value of building</t>
        </is>
      </c>
      <c r="AB472" t="n">
        <v>250</v>
      </c>
      <c r="AC472" t="n">
        <v>500</v>
      </c>
      <c r="AD472" t="n">
        <v>1000</v>
      </c>
      <c r="AE472" t="n">
        <v>2500</v>
      </c>
      <c r="AF472" t="n">
        <v>5000</v>
      </c>
      <c r="AG472" t="n">
        <v>7500</v>
      </c>
      <c r="AH472" t="n">
        <v>10000</v>
      </c>
      <c r="AI472" t="n">
        <v>25000</v>
      </c>
      <c r="AJ472" t="n">
        <v>50000</v>
      </c>
      <c r="AK472" t="n">
        <v>100000</v>
      </c>
    </row>
    <row r="473">
      <c r="AA473" t="n">
        <v>50000</v>
      </c>
      <c r="AB473" t="n">
        <v>1.2</v>
      </c>
      <c r="AC473" t="n">
        <v>1.034</v>
      </c>
      <c r="AD473" t="n">
        <v>0.895</v>
      </c>
      <c r="AE473" t="n">
        <v>0.753</v>
      </c>
      <c r="AF473" t="n">
        <v>0.6</v>
      </c>
      <c r="AG473" t="n">
        <v>0.55</v>
      </c>
      <c r="AH473" t="n">
        <v>0.5</v>
      </c>
      <c r="AI473" t="n">
        <v>0.45</v>
      </c>
      <c r="AJ473" t="n">
        <v>0.4</v>
      </c>
      <c r="AK473" t="n">
        <v>0.35</v>
      </c>
    </row>
    <row r="474">
      <c r="AA474" t="n">
        <v>500000</v>
      </c>
      <c r="AB474" t="n">
        <v>1.25</v>
      </c>
      <c r="AC474" t="n">
        <v>1.077</v>
      </c>
      <c r="AD474" t="n">
        <v>0.961</v>
      </c>
      <c r="AE474" t="n">
        <v>0.867</v>
      </c>
      <c r="AF474" t="n">
        <v>0.753</v>
      </c>
      <c r="AG474" t="n">
        <v>0.663</v>
      </c>
      <c r="AH474" t="n">
        <v>0.589</v>
      </c>
      <c r="AI474" t="n">
        <v>0.5</v>
      </c>
      <c r="AJ474" t="n">
        <v>0.45</v>
      </c>
      <c r="AK474" t="n">
        <v>0.423</v>
      </c>
    </row>
    <row r="475">
      <c r="AA475" t="n">
        <v>1000000</v>
      </c>
      <c r="AB475" t="n">
        <v>1.3</v>
      </c>
      <c r="AC475" t="n">
        <v>1.12</v>
      </c>
      <c r="AD475" t="n">
        <v>1</v>
      </c>
      <c r="AE475" t="n">
        <v>0.9429999999999999</v>
      </c>
      <c r="AF475" t="n">
        <v>0.867</v>
      </c>
      <c r="AG475" t="n">
        <v>0.806</v>
      </c>
      <c r="AH475" t="n">
        <v>0.753</v>
      </c>
      <c r="AI475" t="n">
        <v>0.53</v>
      </c>
      <c r="AJ475" t="n">
        <v>0.5</v>
      </c>
      <c r="AK475" t="n">
        <v>0.45</v>
      </c>
    </row>
    <row r="476">
      <c r="AA476" t="n">
        <v>3000000</v>
      </c>
      <c r="AB476" t="n">
        <v>1.33</v>
      </c>
      <c r="AC476" t="n">
        <v>1.146</v>
      </c>
      <c r="AD476" t="n">
        <v>1.03</v>
      </c>
      <c r="AE476" t="n">
        <v>1.007</v>
      </c>
      <c r="AF476" t="n">
        <v>0.974</v>
      </c>
      <c r="AG476" t="n">
        <v>0.9429999999999999</v>
      </c>
      <c r="AH476" t="n">
        <v>0.916</v>
      </c>
      <c r="AI476" t="n">
        <v>0.788</v>
      </c>
      <c r="AJ476" t="n">
        <v>0.638</v>
      </c>
      <c r="AK476" t="n">
        <v>0.52</v>
      </c>
    </row>
    <row r="477">
      <c r="AA477" t="n">
        <v>5000000</v>
      </c>
      <c r="AB477" t="n">
        <v>1.36</v>
      </c>
      <c r="AC477" t="n">
        <v>1.172</v>
      </c>
      <c r="AD477" t="n">
        <v>1.036</v>
      </c>
      <c r="AE477" t="n">
        <v>1.022</v>
      </c>
      <c r="AF477" t="n">
        <v>1</v>
      </c>
      <c r="AG477" t="n">
        <v>0.98</v>
      </c>
      <c r="AH477" t="n">
        <v>0.961</v>
      </c>
      <c r="AI477" t="n">
        <v>0.867</v>
      </c>
      <c r="AJ477" t="n">
        <v>0.753</v>
      </c>
      <c r="AK477" t="n">
        <v>0.589</v>
      </c>
    </row>
    <row r="478">
      <c r="AA478" t="n">
        <v>7500000</v>
      </c>
      <c r="AB478" t="n">
        <v>1.4</v>
      </c>
      <c r="AC478" t="n">
        <v>1.206</v>
      </c>
      <c r="AD478" t="n">
        <v>1.039</v>
      </c>
      <c r="AE478" t="n">
        <v>1.03</v>
      </c>
      <c r="AF478" t="n">
        <v>1.015</v>
      </c>
      <c r="AG478" t="n">
        <v>1</v>
      </c>
      <c r="AH478" t="n">
        <v>0.987</v>
      </c>
      <c r="AI478" t="n">
        <v>0.916</v>
      </c>
      <c r="AJ478" t="n">
        <v>0.825</v>
      </c>
      <c r="AK478" t="n">
        <v>0.6929999999999999</v>
      </c>
    </row>
    <row r="479">
      <c r="AA479" t="inlineStr">
        <is>
          <t>We interpolate between the closest lower and higher listed values where applicable.</t>
        </is>
      </c>
    </row>
    <row r="481">
      <c r="AA481" s="17" t="inlineStr">
        <is>
          <t>Wind or hail deductible chart</t>
        </is>
      </c>
    </row>
    <row r="482">
      <c r="AB482" t="inlineStr">
        <is>
          <t>Wind or hail deductible factors</t>
        </is>
      </c>
    </row>
    <row r="483">
      <c r="AA483" t="inlineStr">
        <is>
          <t>Value of building</t>
        </is>
      </c>
      <c r="AB483" t="n">
        <v>0.005</v>
      </c>
      <c r="AC483" t="n">
        <v>0.01</v>
      </c>
      <c r="AD483" t="n">
        <v>0.02</v>
      </c>
    </row>
    <row r="484">
      <c r="AA484" t="n">
        <v>50000</v>
      </c>
      <c r="AB484" t="n">
        <v>0.867</v>
      </c>
      <c r="AC484" t="n">
        <v>0.753</v>
      </c>
      <c r="AD484" t="n">
        <v>0.589</v>
      </c>
    </row>
    <row r="485">
      <c r="AA485" t="n">
        <v>500000</v>
      </c>
      <c r="AB485" t="n">
        <v>0.867</v>
      </c>
      <c r="AC485" t="n">
        <v>0.753</v>
      </c>
      <c r="AD485" t="n">
        <v>0.589</v>
      </c>
    </row>
    <row r="486">
      <c r="AA486" t="n">
        <v>1000000</v>
      </c>
      <c r="AB486" t="n">
        <v>0.867</v>
      </c>
      <c r="AC486" t="n">
        <v>0.753</v>
      </c>
      <c r="AD486" t="n">
        <v>0.589</v>
      </c>
    </row>
    <row r="487">
      <c r="AA487" t="n">
        <v>3000000</v>
      </c>
      <c r="AB487" t="n">
        <v>0.867</v>
      </c>
      <c r="AC487" t="n">
        <v>0.753</v>
      </c>
      <c r="AD487" t="n">
        <v>0.589</v>
      </c>
    </row>
    <row r="488">
      <c r="AA488" t="n">
        <v>5000000</v>
      </c>
      <c r="AB488" t="n">
        <v>0.867</v>
      </c>
      <c r="AC488" t="n">
        <v>0.753</v>
      </c>
      <c r="AD488" t="n">
        <v>0.589</v>
      </c>
    </row>
    <row r="489">
      <c r="AA489" t="n">
        <v>7500000</v>
      </c>
      <c r="AB489" t="n">
        <v>0.867</v>
      </c>
      <c r="AC489" t="n">
        <v>0.753</v>
      </c>
      <c r="AD489" t="n">
        <v>0.589</v>
      </c>
    </row>
    <row r="491">
      <c r="AA491" s="17" t="inlineStr">
        <is>
          <t>Discounts and surcharges charts</t>
        </is>
      </c>
    </row>
    <row r="493">
      <c r="AA493" s="17" t="inlineStr">
        <is>
          <t>Burglar alarm (applicable to All other perils only) Factor</t>
        </is>
      </c>
      <c r="AB493" t="inlineStr">
        <is>
          <t>Factor</t>
        </is>
      </c>
    </row>
    <row r="494">
      <c r="AA494" t="inlineStr">
        <is>
          <t>Deluxe house with deluxe or standard contents</t>
        </is>
      </c>
      <c r="AB494" t="n">
        <v>0.95</v>
      </c>
    </row>
    <row r="495">
      <c r="AA495" t="inlineStr">
        <is>
          <t>Deluxe house with fire or no contents</t>
        </is>
      </c>
      <c r="AB495" t="n">
        <v>1</v>
      </c>
    </row>
    <row r="496">
      <c r="AA496" t="inlineStr">
        <is>
          <t>Condominium, cooperative, or renters</t>
        </is>
      </c>
      <c r="AB496" t="n">
        <v>0.95</v>
      </c>
    </row>
    <row r="498">
      <c r="AB498" t="inlineStr">
        <is>
          <t>House</t>
        </is>
      </c>
    </row>
    <row r="499">
      <c r="AA499" s="17" t="inlineStr">
        <is>
          <t>Discounts</t>
        </is>
      </c>
      <c r="AB499" t="inlineStr">
        <is>
          <t>Wind or hail</t>
        </is>
      </c>
      <c r="AC499" t="inlineStr">
        <is>
          <t>Wildfire</t>
        </is>
      </c>
      <c r="AD499" t="inlineStr">
        <is>
          <t>All other perils</t>
        </is>
      </c>
    </row>
    <row r="500">
      <c r="AA500" t="inlineStr">
        <is>
          <t>Gated community</t>
        </is>
      </c>
      <c r="AB500" t="inlineStr">
        <is>
          <t>N/A</t>
        </is>
      </c>
      <c r="AC500" t="inlineStr">
        <is>
          <t>N/A</t>
        </is>
      </c>
      <c r="AD500" t="n">
        <v>0.05</v>
      </c>
    </row>
    <row r="501">
      <c r="AA501" t="inlineStr">
        <is>
          <t>Gated community patrol service</t>
        </is>
      </c>
      <c r="AB501" t="n">
        <v>0.05</v>
      </c>
      <c r="AC501" t="n">
        <v>0.05</v>
      </c>
      <c r="AD501" t="n">
        <v>0.05</v>
      </c>
    </row>
    <row r="502">
      <c r="AA502" t="inlineStr">
        <is>
          <t>Residential sprinkler system</t>
        </is>
      </c>
      <c r="AB502" t="inlineStr">
        <is>
          <t>N/A</t>
        </is>
      </c>
      <c r="AC502" t="inlineStr">
        <is>
          <t>N/A</t>
        </is>
      </c>
      <c r="AD502" t="n">
        <v>0.1</v>
      </c>
    </row>
    <row r="503">
      <c r="AA503" t="inlineStr">
        <is>
          <t>Fire resistive</t>
        </is>
      </c>
      <c r="AB503" t="inlineStr">
        <is>
          <t>N/A</t>
        </is>
      </c>
      <c r="AC503" t="n">
        <v>0.15</v>
      </c>
      <c r="AD503" t="n">
        <v>0.15</v>
      </c>
    </row>
    <row r="504">
      <c r="AA504" t="inlineStr">
        <is>
          <t>Suburban rating</t>
        </is>
      </c>
      <c r="AB504" t="inlineStr">
        <is>
          <t>N/A</t>
        </is>
      </c>
      <c r="AC504" t="n">
        <v>0.1</v>
      </c>
      <c r="AD504" t="n">
        <v>0.1</v>
      </c>
      <c r="AG504" t="inlineStr">
        <is>
          <t>Wind or hail</t>
        </is>
      </c>
      <c r="AH504" t="inlineStr">
        <is>
          <t>Wildfire</t>
        </is>
      </c>
      <c r="AI504" t="inlineStr">
        <is>
          <t>All other perils</t>
        </is>
      </c>
    </row>
    <row r="505">
      <c r="AA505" t="inlineStr">
        <is>
          <t>Payment history:</t>
        </is>
      </c>
      <c r="AF505" t="inlineStr">
        <is>
          <t>None</t>
        </is>
      </c>
      <c r="AG505">
        <f>AB505</f>
        <v/>
      </c>
      <c r="AH505">
        <f>AC505</f>
        <v/>
      </c>
      <c r="AI505">
        <f>AD505</f>
        <v/>
      </c>
    </row>
    <row r="506">
      <c r="AA506" t="inlineStr">
        <is>
          <t>• 2 years paid in full; or</t>
        </is>
      </c>
      <c r="AB506" t="n">
        <v>0.03</v>
      </c>
      <c r="AC506" t="n">
        <v>0.03</v>
      </c>
      <c r="AD506" t="n">
        <v>0.03</v>
      </c>
      <c r="AF506" t="inlineStr">
        <is>
          <t>2 years paid in full</t>
        </is>
      </c>
      <c r="AG506">
        <f>AB506</f>
        <v/>
      </c>
      <c r="AH506">
        <f>AC506</f>
        <v/>
      </c>
      <c r="AI506">
        <f>AD506</f>
        <v/>
      </c>
    </row>
    <row r="507">
      <c r="AA507" t="inlineStr">
        <is>
          <t>• 3+ years paid in full.</t>
        </is>
      </c>
      <c r="AB507" t="n">
        <v>0.05</v>
      </c>
      <c r="AC507" t="n">
        <v>0.05</v>
      </c>
      <c r="AD507" t="n">
        <v>0.05</v>
      </c>
      <c r="AF507" t="inlineStr">
        <is>
          <t>3+ years paid in full</t>
        </is>
      </c>
      <c r="AG507">
        <f>AB507</f>
        <v/>
      </c>
      <c r="AH507">
        <f>AC507</f>
        <v/>
      </c>
      <c r="AI507">
        <f>AD507</f>
        <v/>
      </c>
    </row>
    <row r="508">
      <c r="AA508" t="inlineStr">
        <is>
          <t>Lien free</t>
        </is>
      </c>
      <c r="AB508" t="n">
        <v>0.1</v>
      </c>
      <c r="AC508" t="inlineStr">
        <is>
          <t>N/A</t>
        </is>
      </c>
      <c r="AD508" t="n">
        <v>0.1</v>
      </c>
    </row>
    <row r="510">
      <c r="AB510" t="inlineStr">
        <is>
          <t>Condominium, cooperative or renters</t>
        </is>
      </c>
    </row>
    <row r="511">
      <c r="AA511" s="17" t="inlineStr">
        <is>
          <t>Discounts</t>
        </is>
      </c>
      <c r="AB511" t="inlineStr">
        <is>
          <t>Wind or hail</t>
        </is>
      </c>
      <c r="AC511" t="inlineStr">
        <is>
          <t>Wildfire</t>
        </is>
      </c>
      <c r="AD511" t="inlineStr">
        <is>
          <t>All other perils</t>
        </is>
      </c>
    </row>
    <row r="512">
      <c r="AA512" t="inlineStr">
        <is>
          <t>Gated community patrol service</t>
        </is>
      </c>
      <c r="AB512" t="inlineStr">
        <is>
          <t>N/A</t>
        </is>
      </c>
      <c r="AC512" t="inlineStr">
        <is>
          <t>N/A</t>
        </is>
      </c>
      <c r="AD512" t="n">
        <v>0.05</v>
      </c>
    </row>
    <row r="513">
      <c r="AA513" t="inlineStr">
        <is>
          <t>Fire resistive</t>
        </is>
      </c>
      <c r="AB513" t="n">
        <v>0.05</v>
      </c>
      <c r="AC513" t="n">
        <v>0.05</v>
      </c>
      <c r="AD513" t="n">
        <v>0.05</v>
      </c>
    </row>
    <row r="514">
      <c r="AA514" t="inlineStr">
        <is>
          <t>Suburban rating</t>
        </is>
      </c>
      <c r="AB514" t="inlineStr">
        <is>
          <t>N/A</t>
        </is>
      </c>
      <c r="AC514" t="n">
        <v>0.1</v>
      </c>
      <c r="AD514" t="n">
        <v>0.1</v>
      </c>
    </row>
    <row r="515">
      <c r="AA515" t="inlineStr">
        <is>
          <t>Payment history:</t>
        </is>
      </c>
      <c r="AB515" t="inlineStr">
        <is>
          <t>N/A</t>
        </is>
      </c>
      <c r="AC515" t="n">
        <v>0.1</v>
      </c>
      <c r="AD515" t="n">
        <v>0.1</v>
      </c>
    </row>
    <row r="516">
      <c r="AA516" t="inlineStr">
        <is>
          <t>• 2 years paid in full; or</t>
        </is>
      </c>
      <c r="AB516" t="n">
        <v>0.03</v>
      </c>
      <c r="AC516" t="n">
        <v>0.03</v>
      </c>
      <c r="AD516" t="n">
        <v>0.03</v>
      </c>
    </row>
    <row r="517">
      <c r="AA517" t="inlineStr">
        <is>
          <t>• 3+ years paid in full.</t>
        </is>
      </c>
      <c r="AB517" t="n">
        <v>0.05</v>
      </c>
      <c r="AC517" t="n">
        <v>0.05</v>
      </c>
      <c r="AD517" t="n">
        <v>0.05</v>
      </c>
    </row>
    <row r="518">
      <c r="AA518" t="inlineStr">
        <is>
          <t>Lien free (not applicable to renters)</t>
        </is>
      </c>
      <c r="AB518" t="n">
        <v>0.1</v>
      </c>
      <c r="AC518" t="inlineStr">
        <is>
          <t>N/A</t>
        </is>
      </c>
      <c r="AD518" t="n">
        <v>0.1</v>
      </c>
    </row>
    <row r="519">
      <c r="AA519" t="inlineStr">
        <is>
          <t>Building security protection</t>
        </is>
      </c>
      <c r="AB519" t="inlineStr">
        <is>
          <t>N/A</t>
        </is>
      </c>
      <c r="AC519" t="inlineStr">
        <is>
          <t>N/A</t>
        </is>
      </c>
      <c r="AD519" t="n">
        <v>0.05</v>
      </c>
    </row>
    <row r="520">
      <c r="AA520" t="inlineStr">
        <is>
          <t>Building fire protection</t>
        </is>
      </c>
      <c r="AB520" t="inlineStr">
        <is>
          <t>N/A</t>
        </is>
      </c>
      <c r="AC520" t="n">
        <v>0.05</v>
      </c>
      <c r="AD520" t="n">
        <v>0.05</v>
      </c>
    </row>
    <row r="523">
      <c r="AA523" s="17" t="inlineStr">
        <is>
          <t>Portfolio discount</t>
        </is>
      </c>
      <c r="AC523" t="inlineStr">
        <is>
          <t>Deluxe house</t>
        </is>
      </c>
      <c r="AD523" t="inlineStr">
        <is>
          <t>Condominium, cooperative or renters</t>
        </is>
      </c>
      <c r="AF523" t="inlineStr">
        <is>
          <t>Home only</t>
        </is>
      </c>
      <c r="AG523" t="n">
        <v>0</v>
      </c>
    </row>
    <row r="524">
      <c r="AA524" t="inlineStr">
        <is>
          <t>Home with auto</t>
        </is>
      </c>
      <c r="AC524" t="n">
        <v>0.1</v>
      </c>
      <c r="AD524" t="n">
        <v>0.1</v>
      </c>
      <c r="AF524" t="inlineStr">
        <is>
          <t>Home with auto</t>
        </is>
      </c>
      <c r="AG524" t="n">
        <v>0.1</v>
      </c>
    </row>
    <row r="525">
      <c r="AA525" t="inlineStr">
        <is>
          <t>Home with valuable articles</t>
        </is>
      </c>
      <c r="AB525" t="inlineStr">
        <is>
          <t>Minimum eligible amount of coverage
• the total of all itemized and/or blanket valuable articles is at least $250,000; or
• the total of all itemized and/or blanket valuable articles (excluding fine arts, if any)
is at least $50,000.</t>
        </is>
      </c>
      <c r="AC525" t="n">
        <v>0.075</v>
      </c>
      <c r="AD525" t="n">
        <v>0.075</v>
      </c>
      <c r="AF525" t="inlineStr">
        <is>
          <t>Home with valuables at least $250000</t>
        </is>
      </c>
      <c r="AG525">
        <f>AC525</f>
        <v/>
      </c>
    </row>
    <row r="526">
      <c r="AA526" t="inlineStr">
        <is>
          <t>Home with valuable articles</t>
        </is>
      </c>
      <c r="AB526" t="inlineStr">
        <is>
          <t>the total of all itemized and/or blanket valuable articles is at least $100,000; or
• the total of all itemized and/or blanket valuable articles (excluding fine arts, if any) is at least $25,000.</t>
        </is>
      </c>
      <c r="AC526" t="n">
        <v>0.05</v>
      </c>
      <c r="AD526" t="n">
        <v>0.05</v>
      </c>
      <c r="AF526" t="inlineStr">
        <is>
          <t>Home with valuables at least $100000</t>
        </is>
      </c>
      <c r="AG526" t="n">
        <v>0.05</v>
      </c>
    </row>
    <row r="527">
      <c r="AA527" t="inlineStr">
        <is>
          <t>We will apply the highest percentage of discount for which the residence qualifies.</t>
        </is>
      </c>
    </row>
    <row r="529">
      <c r="AA529" s="17" t="inlineStr">
        <is>
          <t>Superior protection (All portions of the premium)</t>
        </is>
      </c>
    </row>
    <row r="530">
      <c r="AA530" t="inlineStr">
        <is>
          <t>Superior protection discounts</t>
        </is>
      </c>
      <c r="AB530" t="inlineStr">
        <is>
          <t>Deluxe house</t>
        </is>
      </c>
    </row>
    <row r="531">
      <c r="AA531" t="inlineStr">
        <is>
          <t>Security protection for the entire external perimeter of the house
consisting of any one or more of the following:
• closed circuit TV cameras monitored 24 hours a day;
• detection system, external to the residence which is motion
activated and monitored 24 hours per day;
• 24 hour on site security guard.</t>
        </is>
      </c>
      <c r="AB531" t="n">
        <v>0.05</v>
      </c>
    </row>
    <row r="532">
      <c r="AA532" t="inlineStr">
        <is>
          <t>Full time caretaker who lives at the residence year round. This discount
applies only if a 24 hour on site security guard is not present.</t>
        </is>
      </c>
      <c r="AB532" t="n">
        <v>0.02</v>
      </c>
    </row>
    <row r="533">
      <c r="AA533" t="inlineStr">
        <is>
          <t>24 hour signal continuity protection for central station or direct fire and
burglar alarm systems which activates the alarm when interrupted.</t>
        </is>
      </c>
      <c r="AB533" t="n">
        <v>0.02</v>
      </c>
    </row>
    <row r="534">
      <c r="AA534" t="inlineStr">
        <is>
          <t>Perimeter gate where vehicular and pedestrian access is limited to
entrances controlled by locked or electronic gates. This discount does
not apply if any other Gated community discount applies.</t>
        </is>
      </c>
      <c r="AB534" t="n">
        <v>0.05</v>
      </c>
    </row>
    <row r="535">
      <c r="AA535" t="inlineStr">
        <is>
          <t>Sprinkler system water flow alarm which activates a central station or
direct alarm.</t>
        </is>
      </c>
      <c r="AB535" t="n">
        <v>0.02</v>
      </c>
    </row>
    <row r="536">
      <c r="AA536" t="inlineStr">
        <is>
          <t>Temperature monitoring system, to protect against freezing, which
activates a central station alarm.</t>
        </is>
      </c>
      <c r="AB536" t="n">
        <v>0.05</v>
      </c>
    </row>
    <row r="537">
      <c r="AA537" t="inlineStr">
        <is>
          <t>Permanently installed, electrical power back−up generator capable of
servicing heat, light, alarm and sprinkler systems.</t>
        </is>
      </c>
      <c r="AB537" t="n">
        <v>0.05</v>
      </c>
    </row>
    <row r="538">
      <c r="AA538" t="inlineStr">
        <is>
          <t>Explosive gas leakage detector which activates a central station or
direct fire alarm.</t>
        </is>
      </c>
      <c r="AB538" t="n">
        <v>0.02</v>
      </c>
    </row>
    <row r="539">
      <c r="AA539" t="inlineStr">
        <is>
          <t>Automatic seismic shut−off valve to gas lines which activates
automatically in the event of an earthquake.</t>
        </is>
      </c>
      <c r="AB539" t="n">
        <v>0.05</v>
      </c>
    </row>
    <row r="540">
      <c r="AA540" t="inlineStr">
        <is>
          <t>Lightning protection system having a U.L. Master Label and installed by
a certified Lightning Protection Institute installer. The system must
include lightning rods and lightning arresters protecting the electrical
wiring and all electronic devices of the entire house.</t>
        </is>
      </c>
      <c r="AB540" t="n">
        <v>0.02</v>
      </c>
    </row>
    <row r="541">
      <c r="AA541" t="inlineStr">
        <is>
          <t>Water leak detection system having a U.L. Master Label. The system must monitor all areas containing plumbing devices and outlets. In the event of a leak, this system must:</t>
        </is>
      </c>
      <c r="AD541" t="inlineStr">
        <is>
          <t>None</t>
        </is>
      </c>
      <c r="AE541" t="n">
        <v>0</v>
      </c>
    </row>
    <row r="542">
      <c r="AA542" t="inlineStr">
        <is>
          <t>• activate a central station or direct alarm; or</t>
        </is>
      </c>
      <c r="AB542" t="n">
        <v>0.03</v>
      </c>
      <c r="AD542" t="inlineStr">
        <is>
          <t>Activate central alarm</t>
        </is>
      </c>
      <c r="AE542">
        <f>AB542</f>
        <v/>
      </c>
    </row>
    <row r="543">
      <c r="AA543" t="inlineStr">
        <is>
          <t>• include a control system that closes the master plumbing valve; or</t>
        </is>
      </c>
      <c r="AB543" t="n">
        <v>0.05</v>
      </c>
      <c r="AD543" t="inlineStr">
        <is>
          <t>Closes master plumbing valve</t>
        </is>
      </c>
      <c r="AE543">
        <f>AB543</f>
        <v/>
      </c>
    </row>
    <row r="544">
      <c r="AA544" t="inlineStr">
        <is>
          <t>• include a control system that closes the master plumbing valve and activates a central station or direct alarm.</t>
        </is>
      </c>
      <c r="AB544" t="n">
        <v>0.08</v>
      </c>
      <c r="AD544" t="inlineStr">
        <is>
          <t>Both</t>
        </is>
      </c>
      <c r="AE544">
        <f>AB544</f>
        <v/>
      </c>
    </row>
    <row r="545">
      <c r="AA545" t="inlineStr">
        <is>
          <t>The maximum total discount for Superior protection is 20%.</t>
        </is>
      </c>
    </row>
    <row r="547">
      <c r="AA547" s="17" t="inlineStr">
        <is>
          <t>New house (All portions of the premium)</t>
        </is>
      </c>
    </row>
    <row r="548">
      <c r="AA548" s="17" t="inlineStr">
        <is>
          <t>and Renovated house discounts (applicable to All other perils only)</t>
        </is>
      </c>
    </row>
    <row r="550">
      <c r="AA550" t="inlineStr">
        <is>
          <t>Age of dwelling</t>
        </is>
      </c>
      <c r="AB550" t="inlineStr">
        <is>
          <t>New hosue discount</t>
        </is>
      </c>
      <c r="AD550" t="inlineStr">
        <is>
          <t>Years since oldest renovation</t>
        </is>
      </c>
      <c r="AE550" t="inlineStr">
        <is>
          <t>Renovated house discount</t>
        </is>
      </c>
    </row>
    <row r="551">
      <c r="AA551" t="n">
        <v>0</v>
      </c>
      <c r="AB551" t="n">
        <v>0.24</v>
      </c>
      <c r="AD551" t="n">
        <v>0</v>
      </c>
      <c r="AE551" t="n">
        <v>0.17</v>
      </c>
    </row>
    <row r="552">
      <c r="AA552" t="n">
        <v>1</v>
      </c>
      <c r="AB552" t="n">
        <v>0.24</v>
      </c>
      <c r="AD552" t="n">
        <v>1</v>
      </c>
      <c r="AE552" t="n">
        <v>0.17</v>
      </c>
    </row>
    <row r="553">
      <c r="AA553" t="n">
        <v>2</v>
      </c>
      <c r="AB553" t="n">
        <v>0.21</v>
      </c>
      <c r="AD553" t="n">
        <v>2</v>
      </c>
      <c r="AE553" t="n">
        <v>0.15</v>
      </c>
    </row>
    <row r="554">
      <c r="AA554" t="n">
        <v>3</v>
      </c>
      <c r="AB554" t="n">
        <v>0.18</v>
      </c>
      <c r="AD554" t="n">
        <v>3</v>
      </c>
      <c r="AE554" t="n">
        <v>0.12</v>
      </c>
    </row>
    <row r="555">
      <c r="AA555" t="n">
        <v>4</v>
      </c>
      <c r="AB555" t="n">
        <v>0.15</v>
      </c>
      <c r="AD555" t="n">
        <v>4</v>
      </c>
      <c r="AE555" t="n">
        <v>0.09</v>
      </c>
    </row>
    <row r="556">
      <c r="AA556" t="n">
        <v>5</v>
      </c>
      <c r="AB556" t="n">
        <v>0.12</v>
      </c>
      <c r="AD556" t="n">
        <v>5</v>
      </c>
      <c r="AE556" t="n">
        <v>0.06</v>
      </c>
    </row>
    <row r="557">
      <c r="AA557" t="n">
        <v>6</v>
      </c>
      <c r="AB557" t="n">
        <v>0.09</v>
      </c>
      <c r="AD557" t="n">
        <v>6</v>
      </c>
      <c r="AE557" t="n">
        <v>0.03</v>
      </c>
    </row>
    <row r="558">
      <c r="AA558" t="n">
        <v>7</v>
      </c>
      <c r="AB558" t="n">
        <v>0.06</v>
      </c>
      <c r="AD558" t="n">
        <v>7</v>
      </c>
      <c r="AE558" t="n">
        <v>0</v>
      </c>
    </row>
    <row r="559">
      <c r="AA559" t="n">
        <v>8</v>
      </c>
      <c r="AB559" t="n">
        <v>0.03</v>
      </c>
    </row>
    <row r="560">
      <c r="AA560" t="n">
        <v>9</v>
      </c>
      <c r="AB560" t="n">
        <v>0.02</v>
      </c>
    </row>
    <row r="561">
      <c r="AA561" t="n">
        <v>10</v>
      </c>
      <c r="AB561" t="n">
        <v>0.01</v>
      </c>
    </row>
    <row r="562">
      <c r="AA562" t="n">
        <v>11</v>
      </c>
      <c r="AB562" t="n">
        <v>0</v>
      </c>
    </row>
    <row r="564">
      <c r="AA564" s="17" t="inlineStr">
        <is>
          <t>Premier client discount (All portions of the premium)</t>
        </is>
      </c>
    </row>
    <row r="566">
      <c r="AA566" t="inlineStr">
        <is>
          <t>Customer tenure</t>
        </is>
      </c>
      <c r="AB566" t="inlineStr">
        <is>
          <t>Discount</t>
        </is>
      </c>
      <c r="AD566" t="inlineStr">
        <is>
          <t>Risk tenure</t>
        </is>
      </c>
      <c r="AE566" t="inlineStr">
        <is>
          <t>Discount</t>
        </is>
      </c>
    </row>
    <row r="567">
      <c r="AA567" t="n">
        <v>0</v>
      </c>
      <c r="AB567" t="n">
        <v>0</v>
      </c>
      <c r="AD567" t="n">
        <v>0</v>
      </c>
      <c r="AE567" t="n">
        <v>0</v>
      </c>
    </row>
    <row r="568">
      <c r="AA568" t="n">
        <v>1</v>
      </c>
      <c r="AB568" t="n">
        <v>0</v>
      </c>
      <c r="AD568" t="n">
        <v>1</v>
      </c>
      <c r="AE568" t="n">
        <v>0</v>
      </c>
    </row>
    <row r="569">
      <c r="AA569" t="n">
        <v>2</v>
      </c>
      <c r="AB569" t="n">
        <v>0</v>
      </c>
      <c r="AD569" t="n">
        <v>2</v>
      </c>
      <c r="AE569" t="n">
        <v>0</v>
      </c>
    </row>
    <row r="570">
      <c r="AA570" t="n">
        <v>3</v>
      </c>
      <c r="AB570" t="n">
        <v>0.01</v>
      </c>
      <c r="AD570" t="n">
        <v>3</v>
      </c>
      <c r="AE570" t="n">
        <v>0.04</v>
      </c>
    </row>
    <row r="571">
      <c r="AA571" t="n">
        <v>4</v>
      </c>
      <c r="AB571" t="n">
        <v>0.015</v>
      </c>
      <c r="AD571" t="n">
        <v>4</v>
      </c>
      <c r="AE571" t="n">
        <v>0.045</v>
      </c>
    </row>
    <row r="572">
      <c r="AA572" t="n">
        <v>5</v>
      </c>
      <c r="AB572" t="n">
        <v>0.02</v>
      </c>
      <c r="AD572" t="n">
        <v>5</v>
      </c>
      <c r="AE572" t="n">
        <v>0.05</v>
      </c>
    </row>
    <row r="573">
      <c r="AA573" t="n">
        <v>6</v>
      </c>
      <c r="AB573" t="n">
        <v>0.025</v>
      </c>
      <c r="AD573" t="n">
        <v>6</v>
      </c>
      <c r="AE573" t="n">
        <v>0.055</v>
      </c>
    </row>
    <row r="574">
      <c r="AA574" t="n">
        <v>7</v>
      </c>
      <c r="AB574" t="n">
        <v>0.03</v>
      </c>
      <c r="AD574" t="n">
        <v>7</v>
      </c>
      <c r="AE574" t="n">
        <v>0.06</v>
      </c>
    </row>
    <row r="575">
      <c r="AA575" t="n">
        <v>8</v>
      </c>
      <c r="AB575" t="n">
        <v>0.035</v>
      </c>
      <c r="AD575" t="n">
        <v>8</v>
      </c>
      <c r="AE575" t="n">
        <v>0.065</v>
      </c>
    </row>
    <row r="576">
      <c r="AA576" t="n">
        <v>9</v>
      </c>
      <c r="AB576" t="n">
        <v>0.04</v>
      </c>
      <c r="AD576" t="n">
        <v>9</v>
      </c>
      <c r="AE576" t="n">
        <v>0.07000000000000001</v>
      </c>
    </row>
    <row r="579">
      <c r="AB579" t="inlineStr">
        <is>
          <t>House</t>
        </is>
      </c>
      <c r="AE579" t="inlineStr">
        <is>
          <t>Condominium, cooperative or renters</t>
        </is>
      </c>
    </row>
    <row r="580">
      <c r="AA580" s="17" t="inlineStr">
        <is>
          <t>Surcharges</t>
        </is>
      </c>
      <c r="AB580" t="inlineStr">
        <is>
          <t>Wind or hail</t>
        </is>
      </c>
      <c r="AC580" t="inlineStr">
        <is>
          <t>Wildfire</t>
        </is>
      </c>
      <c r="AD580" t="inlineStr">
        <is>
          <t>All other perils</t>
        </is>
      </c>
      <c r="AE580" t="inlineStr">
        <is>
          <t>Wind or hail</t>
        </is>
      </c>
      <c r="AF580" t="inlineStr">
        <is>
          <t>Wildfire</t>
        </is>
      </c>
      <c r="AG580" t="inlineStr">
        <is>
          <t>All other perils</t>
        </is>
      </c>
    </row>
    <row r="581">
      <c r="AA581" t="inlineStr">
        <is>
          <t>Cancellation surcharge</t>
        </is>
      </c>
      <c r="AB581" t="n">
        <v>0.1</v>
      </c>
      <c r="AC581" t="n">
        <v>0.1</v>
      </c>
      <c r="AD581" t="n">
        <v>0.1</v>
      </c>
      <c r="AE581" t="n">
        <v>0.1</v>
      </c>
      <c r="AF581" t="n">
        <v>0.1</v>
      </c>
      <c r="AG581" t="n">
        <v>0.1</v>
      </c>
    </row>
    <row r="582">
      <c r="AA582" t="inlineStr">
        <is>
          <t>Roof covering surcharge</t>
        </is>
      </c>
      <c r="AB582" t="n">
        <v>0.15</v>
      </c>
      <c r="AC582" t="n">
        <v>0.15</v>
      </c>
      <c r="AD582" t="inlineStr">
        <is>
          <t>N/A</t>
        </is>
      </c>
      <c r="AE582" t="inlineStr">
        <is>
          <t>N/A</t>
        </is>
      </c>
      <c r="AF582" t="inlineStr">
        <is>
          <t>N/A</t>
        </is>
      </c>
      <c r="AG582" t="inlineStr">
        <is>
          <t>N/A</t>
        </is>
      </c>
    </row>
    <row r="583">
      <c r="AA583" t="inlineStr">
        <is>
          <t>Rented to others surcharge</t>
        </is>
      </c>
      <c r="AB583" t="inlineStr">
        <is>
          <t>N/A</t>
        </is>
      </c>
      <c r="AC583" t="inlineStr">
        <is>
          <t>N/A</t>
        </is>
      </c>
      <c r="AD583" t="n">
        <v>0.25</v>
      </c>
      <c r="AE583" t="inlineStr">
        <is>
          <t>N/A</t>
        </is>
      </c>
      <c r="AF583" t="inlineStr">
        <is>
          <t>N/A</t>
        </is>
      </c>
      <c r="AG583" t="n">
        <v>0.25</v>
      </c>
    </row>
    <row r="584">
      <c r="AA584" t="inlineStr">
        <is>
          <t>Undervalue surcharge*</t>
        </is>
      </c>
      <c r="AB584" t="n">
        <v>0.2</v>
      </c>
      <c r="AC584" t="n">
        <v>0.2</v>
      </c>
      <c r="AD584" t="n">
        <v>0.2</v>
      </c>
      <c r="AE584" t="inlineStr">
        <is>
          <t>N/A</t>
        </is>
      </c>
      <c r="AF584" t="inlineStr">
        <is>
          <t>N/A</t>
        </is>
      </c>
      <c r="AG584" t="inlineStr">
        <is>
          <t>N/A</t>
        </is>
      </c>
    </row>
    <row r="585">
      <c r="AA585" t="inlineStr">
        <is>
          <t>Renovation or construction surcharge**</t>
        </is>
      </c>
      <c r="AI585" t="inlineStr">
        <is>
          <t>None</t>
        </is>
      </c>
      <c r="AJ585" s="4" t="n">
        <v>0</v>
      </c>
      <c r="AK585" s="4" t="n">
        <v>0</v>
      </c>
      <c r="AL585" s="4" t="n">
        <v>0</v>
      </c>
      <c r="AM585" s="4" t="n"/>
    </row>
    <row r="586">
      <c r="AA586" t="inlineStr">
        <is>
          <t>Minor construction
• construction of additions, alterations, or renovations to the existing residence or other permanent structures resulting in an increase in the amount of coverage for the residence or other permanent structure by an amount less than 10%
of the coverage amount
for the structure or
$500,000, whichever
amount is less; OR</t>
        </is>
      </c>
      <c r="AB586" t="n">
        <v>0.15</v>
      </c>
      <c r="AC586" t="n">
        <v>0.15</v>
      </c>
      <c r="AD586" t="n">
        <v>0.15</v>
      </c>
      <c r="AE586" t="n">
        <v>0.15</v>
      </c>
      <c r="AF586" t="n">
        <v>0.15</v>
      </c>
      <c r="AG586" t="n">
        <v>0.15</v>
      </c>
      <c r="AI586" t="inlineStr">
        <is>
          <t>Major</t>
        </is>
      </c>
      <c r="AJ586" s="4">
        <f>AB586</f>
        <v/>
      </c>
      <c r="AK586" s="4">
        <f>AC586</f>
        <v/>
      </c>
      <c r="AL586" s="4">
        <f>AD586</f>
        <v/>
      </c>
      <c r="AM586" s="4" t="n"/>
    </row>
    <row r="587">
      <c r="AA587" t="inlineStr">
        <is>
          <t>Major construction
• new construction of a residence or other permanent structures; or
• construction of additions, alterations, or renovations to the existing residence or other permanent structures resulting in an increase in
the amounts of coverage which:
• for a house or other permanent structure, equals or exceeds 10%
of the coverage amount for the structure or $500,000, whichever amount is less; or
• for a condominium, cooperative, or renters unit, equals or exceeds
10% of the total coverage amount for additions and alterations or $500,000, whichever amount is less.</t>
        </is>
      </c>
      <c r="AB587" t="n">
        <v>0.35</v>
      </c>
      <c r="AC587" t="n">
        <v>0.35</v>
      </c>
      <c r="AD587" t="n">
        <v>0.35</v>
      </c>
      <c r="AE587" t="n">
        <v>0.35</v>
      </c>
      <c r="AF587" t="n">
        <v>0.35</v>
      </c>
      <c r="AG587" t="n">
        <v>0.35</v>
      </c>
      <c r="AI587" t="inlineStr">
        <is>
          <t>Minor</t>
        </is>
      </c>
      <c r="AJ587" s="4">
        <f>AB587</f>
        <v/>
      </c>
      <c r="AK587" s="4">
        <f>AC587</f>
        <v/>
      </c>
      <c r="AL587" s="4">
        <f>AD587</f>
        <v/>
      </c>
      <c r="AM587" s="4" t="n"/>
    </row>
    <row r="588">
      <c r="AA588" t="inlineStr">
        <is>
          <t>Vacant house surcharge*</t>
        </is>
      </c>
      <c r="AB588" t="n">
        <v>0.25</v>
      </c>
      <c r="AC588" t="n">
        <v>0.25</v>
      </c>
      <c r="AD588" t="n">
        <v>0.25</v>
      </c>
      <c r="AE588" t="inlineStr">
        <is>
          <t>N/A</t>
        </is>
      </c>
      <c r="AF588" t="inlineStr">
        <is>
          <t>N/A</t>
        </is>
      </c>
      <c r="AG588" t="inlineStr">
        <is>
          <t>N/A</t>
        </is>
      </c>
    </row>
    <row r="589">
      <c r="AA589" t="inlineStr">
        <is>
          <t>*Applied by Company.</t>
        </is>
      </c>
    </row>
    <row r="590">
      <c r="AA590" t="inlineStr">
        <is>
          <t>**Applied by Company and applicable if the insured lives in or out of the residence during renovation or construction.</t>
        </is>
      </c>
    </row>
    <row r="592">
      <c r="AA592" s="17" t="inlineStr">
        <is>
          <t>Claims rating factor</t>
        </is>
      </c>
    </row>
    <row r="593">
      <c r="AB593" t="inlineStr">
        <is>
          <t>Amount of house coverage $1,000,000 or less</t>
        </is>
      </c>
    </row>
    <row r="594">
      <c r="AB594" t="inlineStr">
        <is>
          <t>Number of losses</t>
        </is>
      </c>
    </row>
    <row r="595">
      <c r="AA595" t="inlineStr">
        <is>
          <t>Risk tenure</t>
        </is>
      </c>
      <c r="AB595" t="n">
        <v>0</v>
      </c>
      <c r="AC595" t="n">
        <v>1</v>
      </c>
      <c r="AD595" t="n">
        <v>2</v>
      </c>
      <c r="AE595" t="n">
        <v>3</v>
      </c>
      <c r="AF595" t="n">
        <v>4</v>
      </c>
      <c r="AG595" t="n">
        <v>5</v>
      </c>
    </row>
    <row r="596">
      <c r="AA596" t="n">
        <v>0</v>
      </c>
      <c r="AB596" t="n">
        <v>0</v>
      </c>
      <c r="AC596" t="n">
        <v>0</v>
      </c>
      <c r="AD596" t="n">
        <v>0</v>
      </c>
      <c r="AE596" t="n">
        <v>0</v>
      </c>
      <c r="AF596" t="n">
        <v>0</v>
      </c>
      <c r="AG596" t="n">
        <v>0</v>
      </c>
    </row>
    <row r="597">
      <c r="AA597" t="n">
        <v>1</v>
      </c>
      <c r="AB597" t="n">
        <v>0</v>
      </c>
      <c r="AC597" t="n">
        <v>0.375</v>
      </c>
      <c r="AD597" t="n">
        <v>0.705</v>
      </c>
      <c r="AE597" t="n">
        <v>1.035</v>
      </c>
      <c r="AF597" t="n">
        <v>1.42</v>
      </c>
      <c r="AG597" t="n">
        <v>1.888</v>
      </c>
    </row>
    <row r="598">
      <c r="AA598" t="n">
        <v>2</v>
      </c>
      <c r="AB598" t="n">
        <v>0</v>
      </c>
      <c r="AC598" t="n">
        <v>0.331</v>
      </c>
      <c r="AD598" t="n">
        <v>0.65</v>
      </c>
      <c r="AE598" t="n">
        <v>0.98</v>
      </c>
      <c r="AF598" t="n">
        <v>1.365</v>
      </c>
      <c r="AG598" t="n">
        <v>1.805</v>
      </c>
    </row>
    <row r="599">
      <c r="AA599" t="n">
        <v>3</v>
      </c>
      <c r="AB599" t="n">
        <v>-0.008</v>
      </c>
      <c r="AC599" t="n">
        <v>0.276</v>
      </c>
      <c r="AD599" t="n">
        <v>0.595</v>
      </c>
      <c r="AE599" t="n">
        <v>0.925</v>
      </c>
      <c r="AF599" t="n">
        <v>1.288</v>
      </c>
      <c r="AG599" t="n">
        <v>1.717</v>
      </c>
    </row>
    <row r="600">
      <c r="AA600" t="n">
        <v>4</v>
      </c>
      <c r="AB600" t="n">
        <v>-0.01</v>
      </c>
      <c r="AC600" t="n">
        <v>0.232</v>
      </c>
      <c r="AD600" t="n">
        <v>0.54</v>
      </c>
      <c r="AE600" t="n">
        <v>0.848</v>
      </c>
      <c r="AF600" t="n">
        <v>1.211</v>
      </c>
      <c r="AG600" t="n">
        <v>1.618</v>
      </c>
    </row>
    <row r="601">
      <c r="AA601" t="n">
        <v>5</v>
      </c>
      <c r="AB601" t="n">
        <v>-0.013</v>
      </c>
      <c r="AC601" t="n">
        <v>0.199</v>
      </c>
      <c r="AD601" t="n">
        <v>0.485</v>
      </c>
      <c r="AE601" t="n">
        <v>0.76</v>
      </c>
      <c r="AF601" t="n">
        <v>1.123</v>
      </c>
      <c r="AG601" t="n">
        <v>1.53</v>
      </c>
    </row>
    <row r="602">
      <c r="AA602" t="n">
        <v>6</v>
      </c>
      <c r="AB602" t="n">
        <v>-0.015</v>
      </c>
      <c r="AC602" t="n">
        <v>0.183</v>
      </c>
      <c r="AD602" t="n">
        <v>0.43</v>
      </c>
      <c r="AE602" t="n">
        <v>0.705</v>
      </c>
      <c r="AF602" t="n">
        <v>1.046</v>
      </c>
      <c r="AG602" t="n">
        <v>1.431</v>
      </c>
    </row>
    <row r="603">
      <c r="AA603" t="n">
        <v>7</v>
      </c>
      <c r="AB603" t="n">
        <v>-0.018</v>
      </c>
      <c r="AC603" t="n">
        <v>0.155</v>
      </c>
      <c r="AD603" t="n">
        <v>0.375</v>
      </c>
      <c r="AE603" t="n">
        <v>0.65</v>
      </c>
      <c r="AF603" t="n">
        <v>0.969</v>
      </c>
      <c r="AG603" t="n">
        <v>1.332</v>
      </c>
    </row>
    <row r="604">
      <c r="AA604" t="n">
        <v>8</v>
      </c>
      <c r="AB604" t="n">
        <v>-0.02</v>
      </c>
      <c r="AC604" t="n">
        <v>0.128</v>
      </c>
      <c r="AD604" t="n">
        <v>0.32</v>
      </c>
      <c r="AE604" t="n">
        <v>0.573</v>
      </c>
      <c r="AF604" t="n">
        <v>0.881</v>
      </c>
      <c r="AG604" t="n">
        <v>1.228</v>
      </c>
    </row>
    <row r="605">
      <c r="AA605" t="n">
        <v>9</v>
      </c>
      <c r="AB605" t="n">
        <v>-0.025</v>
      </c>
      <c r="AC605" t="n">
        <v>0.1</v>
      </c>
      <c r="AD605" t="n">
        <v>0.265</v>
      </c>
      <c r="AE605" t="n">
        <v>0.496</v>
      </c>
      <c r="AF605" t="n">
        <v>0.793</v>
      </c>
      <c r="AG605" t="n">
        <v>1.123</v>
      </c>
    </row>
    <row r="607">
      <c r="AB607" t="inlineStr">
        <is>
          <t>Amount of house coverage equal to $2,000,000</t>
        </is>
      </c>
    </row>
    <row r="608">
      <c r="AB608" t="inlineStr">
        <is>
          <t>Number of losses</t>
        </is>
      </c>
    </row>
    <row r="609">
      <c r="AA609" t="inlineStr">
        <is>
          <t>Risk tenure</t>
        </is>
      </c>
      <c r="AB609" t="n">
        <v>0</v>
      </c>
      <c r="AC609" t="n">
        <v>1</v>
      </c>
      <c r="AD609" t="n">
        <v>2</v>
      </c>
      <c r="AE609" t="n">
        <v>3</v>
      </c>
      <c r="AF609" t="n">
        <v>4</v>
      </c>
      <c r="AG609" t="n">
        <v>5</v>
      </c>
    </row>
    <row r="610">
      <c r="AA610" t="n">
        <v>0</v>
      </c>
      <c r="AB610" t="n">
        <v>0</v>
      </c>
      <c r="AC610" t="n">
        <v>0</v>
      </c>
      <c r="AD610" t="n">
        <v>0</v>
      </c>
      <c r="AE610" t="n">
        <v>0</v>
      </c>
      <c r="AF610" t="n">
        <v>0</v>
      </c>
      <c r="AG610" t="n">
        <v>0</v>
      </c>
    </row>
    <row r="611">
      <c r="AA611" t="n">
        <v>1</v>
      </c>
      <c r="AB611" t="n">
        <v>0</v>
      </c>
      <c r="AC611" t="n">
        <v>0.32</v>
      </c>
      <c r="AD611" t="n">
        <v>0.606</v>
      </c>
      <c r="AE611" t="n">
        <v>0.898</v>
      </c>
      <c r="AF611" t="n">
        <v>1.228</v>
      </c>
      <c r="AG611" t="n">
        <v>1.585</v>
      </c>
    </row>
    <row r="612">
      <c r="AA612" t="n">
        <v>2</v>
      </c>
      <c r="AB612" t="n">
        <v>0</v>
      </c>
      <c r="AC612" t="n">
        <v>0.276</v>
      </c>
      <c r="AD612" t="n">
        <v>0.551</v>
      </c>
      <c r="AE612" t="n">
        <v>0.843</v>
      </c>
      <c r="AF612" t="n">
        <v>1.167</v>
      </c>
      <c r="AG612" t="n">
        <v>1.508</v>
      </c>
    </row>
    <row r="613">
      <c r="AA613" t="n">
        <v>3</v>
      </c>
      <c r="AB613" t="n">
        <v>-0.015</v>
      </c>
      <c r="AC613" t="n">
        <v>0.221</v>
      </c>
      <c r="AD613" t="n">
        <v>0.496</v>
      </c>
      <c r="AE613" t="n">
        <v>0.782</v>
      </c>
      <c r="AF613" t="n">
        <v>1.09</v>
      </c>
      <c r="AG613" t="n">
        <v>1.431</v>
      </c>
    </row>
    <row r="614">
      <c r="AA614" t="n">
        <v>4</v>
      </c>
      <c r="AB614" t="n">
        <v>-0.02</v>
      </c>
      <c r="AC614" t="n">
        <v>0.177</v>
      </c>
      <c r="AD614" t="n">
        <v>0.441</v>
      </c>
      <c r="AE614" t="n">
        <v>0.705</v>
      </c>
      <c r="AF614" t="n">
        <v>1.013</v>
      </c>
      <c r="AG614" t="n">
        <v>1.343</v>
      </c>
    </row>
    <row r="615">
      <c r="AA615" t="n">
        <v>5</v>
      </c>
      <c r="AB615" t="n">
        <v>-0.025</v>
      </c>
      <c r="AC615" t="n">
        <v>0.155</v>
      </c>
      <c r="AD615" t="n">
        <v>0.397</v>
      </c>
      <c r="AE615" t="n">
        <v>0.639</v>
      </c>
      <c r="AF615" t="n">
        <v>0.9360000000000001</v>
      </c>
      <c r="AG615" t="n">
        <v>1.255</v>
      </c>
    </row>
    <row r="616">
      <c r="AA616" t="n">
        <v>6</v>
      </c>
      <c r="AB616" t="n">
        <v>-0.03</v>
      </c>
      <c r="AC616" t="n">
        <v>0.144</v>
      </c>
      <c r="AD616" t="n">
        <v>0.353</v>
      </c>
      <c r="AE616" t="n">
        <v>0.584</v>
      </c>
      <c r="AF616" t="n">
        <v>0.881</v>
      </c>
      <c r="AG616" t="n">
        <v>1.2</v>
      </c>
    </row>
    <row r="617">
      <c r="AA617" t="n">
        <v>7</v>
      </c>
      <c r="AB617" t="n">
        <v>-0.035</v>
      </c>
      <c r="AC617" t="n">
        <v>0.133</v>
      </c>
      <c r="AD617" t="n">
        <v>0.309</v>
      </c>
      <c r="AE617" t="n">
        <v>0.54</v>
      </c>
      <c r="AF617" t="n">
        <v>0.8149999999999999</v>
      </c>
      <c r="AG617" t="n">
        <v>1.123</v>
      </c>
    </row>
    <row r="618">
      <c r="AA618" t="n">
        <v>8</v>
      </c>
      <c r="AB618" t="n">
        <v>-0.04</v>
      </c>
      <c r="AC618" t="n">
        <v>0.117</v>
      </c>
      <c r="AD618" t="n">
        <v>0.254</v>
      </c>
      <c r="AE618" t="n">
        <v>0.485</v>
      </c>
      <c r="AF618" t="n">
        <v>0.749</v>
      </c>
      <c r="AG618" t="n">
        <v>1.057</v>
      </c>
    </row>
    <row r="619">
      <c r="AA619" t="n">
        <v>9</v>
      </c>
      <c r="AB619" t="n">
        <v>-0.05</v>
      </c>
      <c r="AC619" t="n">
        <v>0.1</v>
      </c>
      <c r="AD619" t="n">
        <v>0.21</v>
      </c>
      <c r="AE619" t="n">
        <v>0.43</v>
      </c>
      <c r="AF619" t="n">
        <v>0.694</v>
      </c>
      <c r="AG619" t="n">
        <v>0.991</v>
      </c>
    </row>
    <row r="620">
      <c r="AA620" t="inlineStr">
        <is>
          <t>We interpolate for house coverage amounts between $1,000,001 and $1,999,999.</t>
        </is>
      </c>
    </row>
    <row r="622">
      <c r="AB622" t="inlineStr">
        <is>
          <t>Amount of house coverage $5,000,000 or greater</t>
        </is>
      </c>
    </row>
    <row r="623">
      <c r="AB623" t="inlineStr">
        <is>
          <t>Number of losses</t>
        </is>
      </c>
    </row>
    <row r="624">
      <c r="AA624" t="inlineStr">
        <is>
          <t>Risk tenure</t>
        </is>
      </c>
      <c r="AB624" t="n">
        <v>0</v>
      </c>
      <c r="AC624" t="n">
        <v>1</v>
      </c>
      <c r="AD624" t="n">
        <v>2</v>
      </c>
      <c r="AE624" t="n">
        <v>3</v>
      </c>
      <c r="AF624" t="n">
        <v>4</v>
      </c>
      <c r="AG624" t="n">
        <v>5</v>
      </c>
    </row>
    <row r="625">
      <c r="AA625" t="n">
        <v>0</v>
      </c>
      <c r="AB625" t="n">
        <v>0</v>
      </c>
      <c r="AC625" t="n">
        <v>0</v>
      </c>
      <c r="AD625" t="n">
        <v>0</v>
      </c>
      <c r="AE625" t="n">
        <v>0</v>
      </c>
      <c r="AF625" t="n">
        <v>0</v>
      </c>
      <c r="AG625" t="n">
        <v>0</v>
      </c>
    </row>
    <row r="626">
      <c r="AA626" t="n">
        <v>1</v>
      </c>
      <c r="AB626" t="n">
        <v>0</v>
      </c>
      <c r="AC626" t="n">
        <v>0.265</v>
      </c>
      <c r="AD626" t="n">
        <v>0.496</v>
      </c>
      <c r="AE626" t="n">
        <v>0.738</v>
      </c>
      <c r="AF626" t="n">
        <v>0.991</v>
      </c>
      <c r="AG626" t="n">
        <v>1.255</v>
      </c>
    </row>
    <row r="627">
      <c r="AA627" t="n">
        <v>2</v>
      </c>
      <c r="AB627" t="n">
        <v>0</v>
      </c>
      <c r="AC627" t="n">
        <v>0.232</v>
      </c>
      <c r="AD627" t="n">
        <v>0.463</v>
      </c>
      <c r="AE627" t="n">
        <v>0.705</v>
      </c>
      <c r="AF627" t="n">
        <v>0.953</v>
      </c>
      <c r="AG627" t="n">
        <v>1.2</v>
      </c>
    </row>
    <row r="628">
      <c r="AA628" t="n">
        <v>3</v>
      </c>
      <c r="AB628" t="n">
        <v>-0.04</v>
      </c>
      <c r="AC628" t="n">
        <v>0.183</v>
      </c>
      <c r="AD628" t="n">
        <v>0.408</v>
      </c>
      <c r="AE628" t="n">
        <v>0.65</v>
      </c>
      <c r="AF628" t="n">
        <v>0.892</v>
      </c>
      <c r="AG628" t="n">
        <v>1.134</v>
      </c>
    </row>
    <row r="629">
      <c r="AA629" t="n">
        <v>4</v>
      </c>
      <c r="AB629" t="n">
        <v>-0.045</v>
      </c>
      <c r="AC629" t="n">
        <v>0.15</v>
      </c>
      <c r="AD629" t="n">
        <v>0.375</v>
      </c>
      <c r="AE629" t="n">
        <v>0.595</v>
      </c>
      <c r="AF629" t="n">
        <v>0.837</v>
      </c>
      <c r="AG629" t="n">
        <v>1.079</v>
      </c>
    </row>
    <row r="630">
      <c r="AA630" t="n">
        <v>5</v>
      </c>
      <c r="AB630" t="n">
        <v>-0.05</v>
      </c>
      <c r="AC630" t="n">
        <v>0.128</v>
      </c>
      <c r="AD630" t="n">
        <v>0.342</v>
      </c>
      <c r="AE630" t="n">
        <v>0.54</v>
      </c>
      <c r="AF630" t="n">
        <v>0.771</v>
      </c>
      <c r="AG630" t="n">
        <v>1.013</v>
      </c>
    </row>
    <row r="631">
      <c r="AA631" t="n">
        <v>6</v>
      </c>
      <c r="AB631" t="n">
        <v>-0.055</v>
      </c>
      <c r="AC631" t="n">
        <v>0.117</v>
      </c>
      <c r="AD631" t="n">
        <v>0.298</v>
      </c>
      <c r="AE631" t="n">
        <v>0.496</v>
      </c>
      <c r="AF631" t="n">
        <v>0.727</v>
      </c>
      <c r="AG631" t="n">
        <v>0.969</v>
      </c>
    </row>
    <row r="632">
      <c r="AA632" t="n">
        <v>7</v>
      </c>
      <c r="AB632" t="n">
        <v>-0.06</v>
      </c>
      <c r="AC632" t="n">
        <v>0.106</v>
      </c>
      <c r="AD632" t="n">
        <v>0.265</v>
      </c>
      <c r="AE632" t="n">
        <v>0.458</v>
      </c>
      <c r="AF632" t="n">
        <v>0.678</v>
      </c>
      <c r="AG632" t="n">
        <v>0.914</v>
      </c>
      <c r="AI632" t="n">
        <v>0</v>
      </c>
      <c r="AJ632">
        <f>VLOOKUP($E$55,$AA$596:$AG$605,MATCH(0,$AA$595:$AG$595,0),TRUE)</f>
        <v/>
      </c>
    </row>
    <row r="633">
      <c r="AA633" t="n">
        <v>8</v>
      </c>
      <c r="AB633" t="n">
        <v>-0.065</v>
      </c>
      <c r="AC633" t="n">
        <v>0.089</v>
      </c>
      <c r="AD633" t="n">
        <v>0.221</v>
      </c>
      <c r="AE633" t="n">
        <v>0.408</v>
      </c>
      <c r="AF633" t="n">
        <v>0.623</v>
      </c>
      <c r="AG633" t="n">
        <v>0.859</v>
      </c>
      <c r="AI633" t="n">
        <v>2000000</v>
      </c>
      <c r="AJ633">
        <f>VLOOKUP($E$55,$AA$610:$AG$619,MATCH(0,$AA$609:$AG$609,0),TRUE)</f>
        <v/>
      </c>
    </row>
    <row r="634">
      <c r="AA634" t="n">
        <v>9</v>
      </c>
      <c r="AB634" t="n">
        <v>-0.075</v>
      </c>
      <c r="AC634" t="n">
        <v>0.073</v>
      </c>
      <c r="AD634" t="n">
        <v>0.183</v>
      </c>
      <c r="AE634" t="n">
        <v>0.364</v>
      </c>
      <c r="AF634" t="n">
        <v>0.573</v>
      </c>
      <c r="AG634" t="n">
        <v>0.804</v>
      </c>
      <c r="AI634" t="n">
        <v>5000000</v>
      </c>
      <c r="AJ634">
        <f>VLOOKUP($E$55,$AA$625:$AG$634,MATCH(0,$AA$624:$AG$624,0),TRUE)</f>
        <v/>
      </c>
    </row>
    <row r="635">
      <c r="AA635" t="inlineStr">
        <is>
          <t>We interpolate for house coverage amounts between $2,000,001 and $4,999,999.</t>
        </is>
      </c>
    </row>
    <row r="637">
      <c r="AB637" t="inlineStr">
        <is>
          <t>Amount of contents and additions and alterations coverage $250,000 or less</t>
        </is>
      </c>
    </row>
    <row r="638">
      <c r="AB638" t="inlineStr">
        <is>
          <t>Number of losses</t>
        </is>
      </c>
    </row>
    <row r="639">
      <c r="AA639" t="inlineStr">
        <is>
          <t>Risk tenure</t>
        </is>
      </c>
      <c r="AB639" t="n">
        <v>0</v>
      </c>
      <c r="AC639" t="n">
        <v>1</v>
      </c>
      <c r="AD639" t="n">
        <v>2</v>
      </c>
      <c r="AE639" t="n">
        <v>3</v>
      </c>
      <c r="AF639" t="n">
        <v>4</v>
      </c>
      <c r="AG639" t="n">
        <v>5</v>
      </c>
    </row>
    <row r="640">
      <c r="AA640" t="n">
        <v>0</v>
      </c>
      <c r="AB640" t="n">
        <v>0</v>
      </c>
      <c r="AC640" t="n">
        <v>0</v>
      </c>
      <c r="AD640" t="n">
        <v>0</v>
      </c>
      <c r="AE640" t="n">
        <v>0</v>
      </c>
      <c r="AF640" t="n">
        <v>0</v>
      </c>
      <c r="AG640" t="n">
        <v>0</v>
      </c>
    </row>
    <row r="641">
      <c r="AA641" t="n">
        <v>1</v>
      </c>
      <c r="AB641" t="n">
        <v>0</v>
      </c>
      <c r="AC641" t="n">
        <v>0.375</v>
      </c>
      <c r="AD641" t="n">
        <v>0.705</v>
      </c>
      <c r="AE641" t="n">
        <v>1.035</v>
      </c>
      <c r="AF641" t="n">
        <v>1.42</v>
      </c>
      <c r="AG641" t="n">
        <v>1.888</v>
      </c>
    </row>
    <row r="642">
      <c r="AA642" t="n">
        <v>2</v>
      </c>
      <c r="AB642" t="n">
        <v>0</v>
      </c>
      <c r="AC642" t="n">
        <v>0.331</v>
      </c>
      <c r="AD642" t="n">
        <v>0.65</v>
      </c>
      <c r="AE642" t="n">
        <v>0.98</v>
      </c>
      <c r="AF642" t="n">
        <v>1.365</v>
      </c>
      <c r="AG642" t="n">
        <v>1.805</v>
      </c>
    </row>
    <row r="643">
      <c r="AA643" t="n">
        <v>3</v>
      </c>
      <c r="AB643" t="n">
        <v>-0.008</v>
      </c>
      <c r="AC643" t="n">
        <v>0.276</v>
      </c>
      <c r="AD643" t="n">
        <v>0.595</v>
      </c>
      <c r="AE643" t="n">
        <v>0.925</v>
      </c>
      <c r="AF643" t="n">
        <v>1.288</v>
      </c>
      <c r="AG643" t="n">
        <v>1.717</v>
      </c>
    </row>
    <row r="644">
      <c r="AA644" t="n">
        <v>4</v>
      </c>
      <c r="AB644" t="n">
        <v>-0.01</v>
      </c>
      <c r="AC644" t="n">
        <v>0.232</v>
      </c>
      <c r="AD644" t="n">
        <v>0.54</v>
      </c>
      <c r="AE644" t="n">
        <v>0.848</v>
      </c>
      <c r="AF644" t="n">
        <v>1.211</v>
      </c>
      <c r="AG644" t="n">
        <v>1.618</v>
      </c>
    </row>
    <row r="645">
      <c r="AA645" t="n">
        <v>5</v>
      </c>
      <c r="AB645" t="n">
        <v>-0.013</v>
      </c>
      <c r="AC645" t="n">
        <v>0.199</v>
      </c>
      <c r="AD645" t="n">
        <v>0.485</v>
      </c>
      <c r="AE645" t="n">
        <v>0.76</v>
      </c>
      <c r="AF645" t="n">
        <v>1.123</v>
      </c>
      <c r="AG645" t="n">
        <v>1.53</v>
      </c>
    </row>
    <row r="646">
      <c r="AA646" t="n">
        <v>6</v>
      </c>
      <c r="AB646" t="n">
        <v>-0.015</v>
      </c>
      <c r="AC646" t="n">
        <v>0.183</v>
      </c>
      <c r="AD646" t="n">
        <v>0.43</v>
      </c>
      <c r="AE646" t="n">
        <v>0.705</v>
      </c>
      <c r="AF646" t="n">
        <v>1.046</v>
      </c>
      <c r="AG646" t="n">
        <v>1.431</v>
      </c>
    </row>
    <row r="647">
      <c r="AA647" t="n">
        <v>7</v>
      </c>
      <c r="AB647" t="n">
        <v>-0.018</v>
      </c>
      <c r="AC647" t="n">
        <v>0.155</v>
      </c>
      <c r="AD647" t="n">
        <v>0.375</v>
      </c>
      <c r="AE647" t="n">
        <v>0.65</v>
      </c>
      <c r="AF647" t="n">
        <v>0.969</v>
      </c>
      <c r="AG647" t="n">
        <v>1.332</v>
      </c>
    </row>
    <row r="648">
      <c r="AA648" t="n">
        <v>8</v>
      </c>
      <c r="AB648" t="n">
        <v>-0.02</v>
      </c>
      <c r="AC648" t="n">
        <v>0.128</v>
      </c>
      <c r="AD648" t="n">
        <v>0.32</v>
      </c>
      <c r="AE648" t="n">
        <v>0.573</v>
      </c>
      <c r="AF648" t="n">
        <v>0.881</v>
      </c>
      <c r="AG648" t="n">
        <v>1.228</v>
      </c>
    </row>
    <row r="649">
      <c r="AA649" t="n">
        <v>9</v>
      </c>
      <c r="AB649" t="n">
        <v>-0.025</v>
      </c>
      <c r="AC649" t="n">
        <v>0.1</v>
      </c>
      <c r="AD649" t="n">
        <v>0.265</v>
      </c>
      <c r="AE649" t="n">
        <v>0.496</v>
      </c>
      <c r="AF649" t="n">
        <v>0.793</v>
      </c>
      <c r="AG649" t="n">
        <v>1.123</v>
      </c>
    </row>
    <row r="651">
      <c r="AB651" t="inlineStr">
        <is>
          <t>Amount of contents and additions and alterations coverage equal to $500,000</t>
        </is>
      </c>
    </row>
    <row r="652">
      <c r="AA652" t="inlineStr">
        <is>
          <t>Risk tenure</t>
        </is>
      </c>
      <c r="AB652" t="n">
        <v>0</v>
      </c>
      <c r="AC652" t="n">
        <v>1</v>
      </c>
      <c r="AD652" t="n">
        <v>2</v>
      </c>
      <c r="AE652" t="n">
        <v>3</v>
      </c>
      <c r="AF652" t="n">
        <v>4</v>
      </c>
      <c r="AG652" t="n">
        <v>5</v>
      </c>
    </row>
    <row r="653">
      <c r="AA653" t="n">
        <v>0</v>
      </c>
      <c r="AB653" t="n">
        <v>0</v>
      </c>
      <c r="AC653" t="n">
        <v>0</v>
      </c>
      <c r="AD653" t="n">
        <v>0</v>
      </c>
      <c r="AE653" t="n">
        <v>0</v>
      </c>
      <c r="AF653" t="n">
        <v>0</v>
      </c>
      <c r="AG653" t="n">
        <v>0</v>
      </c>
    </row>
    <row r="654">
      <c r="AA654" t="n">
        <v>1</v>
      </c>
      <c r="AB654" t="n">
        <v>0</v>
      </c>
      <c r="AC654" t="n">
        <v>0.32</v>
      </c>
      <c r="AD654" t="n">
        <v>0.606</v>
      </c>
      <c r="AE654" t="n">
        <v>0.898</v>
      </c>
      <c r="AF654" t="n">
        <v>1.228</v>
      </c>
      <c r="AG654" t="n">
        <v>1.585</v>
      </c>
    </row>
    <row r="655">
      <c r="AA655" t="n">
        <v>2</v>
      </c>
      <c r="AB655" t="n">
        <v>0</v>
      </c>
      <c r="AC655" t="n">
        <v>0.276</v>
      </c>
      <c r="AD655" t="n">
        <v>0.551</v>
      </c>
      <c r="AE655" t="n">
        <v>0.843</v>
      </c>
      <c r="AF655" t="n">
        <v>1.167</v>
      </c>
      <c r="AG655" t="n">
        <v>1.508</v>
      </c>
    </row>
    <row r="656">
      <c r="AA656" t="n">
        <v>3</v>
      </c>
      <c r="AB656" t="n">
        <v>-0.015</v>
      </c>
      <c r="AC656" t="n">
        <v>0.221</v>
      </c>
      <c r="AD656" t="n">
        <v>0.496</v>
      </c>
      <c r="AE656" t="n">
        <v>0.782</v>
      </c>
      <c r="AF656" t="n">
        <v>1.09</v>
      </c>
      <c r="AG656" t="n">
        <v>1.431</v>
      </c>
    </row>
    <row r="657">
      <c r="AA657" t="n">
        <v>4</v>
      </c>
      <c r="AB657" t="n">
        <v>-0.02</v>
      </c>
      <c r="AC657" t="n">
        <v>0.177</v>
      </c>
      <c r="AD657" t="n">
        <v>0.441</v>
      </c>
      <c r="AE657" t="n">
        <v>0.705</v>
      </c>
      <c r="AF657" t="n">
        <v>1.013</v>
      </c>
      <c r="AG657" t="n">
        <v>1.343</v>
      </c>
    </row>
    <row r="658">
      <c r="AA658" t="n">
        <v>5</v>
      </c>
      <c r="AB658" t="n">
        <v>-0.025</v>
      </c>
      <c r="AC658" t="n">
        <v>0.155</v>
      </c>
      <c r="AD658" t="n">
        <v>0.397</v>
      </c>
      <c r="AE658" t="n">
        <v>0.639</v>
      </c>
      <c r="AF658" t="n">
        <v>0.9360000000000001</v>
      </c>
      <c r="AG658" t="n">
        <v>1.255</v>
      </c>
    </row>
    <row r="659">
      <c r="AA659" t="n">
        <v>6</v>
      </c>
      <c r="AB659" t="n">
        <v>-0.03</v>
      </c>
      <c r="AC659" t="n">
        <v>0.144</v>
      </c>
      <c r="AD659" t="n">
        <v>0.353</v>
      </c>
      <c r="AE659" t="n">
        <v>0.584</v>
      </c>
      <c r="AF659" t="n">
        <v>0.881</v>
      </c>
      <c r="AG659" t="n">
        <v>1.2</v>
      </c>
    </row>
    <row r="660">
      <c r="AA660" t="n">
        <v>7</v>
      </c>
      <c r="AB660" t="n">
        <v>-0.035</v>
      </c>
      <c r="AC660" t="n">
        <v>0.133</v>
      </c>
      <c r="AD660" t="n">
        <v>0.309</v>
      </c>
      <c r="AE660" t="n">
        <v>0.54</v>
      </c>
      <c r="AF660" t="n">
        <v>0.8149999999999999</v>
      </c>
      <c r="AG660" t="n">
        <v>1.123</v>
      </c>
    </row>
    <row r="661">
      <c r="AA661" t="n">
        <v>8</v>
      </c>
      <c r="AB661" t="n">
        <v>-0.04</v>
      </c>
      <c r="AC661" t="n">
        <v>0.117</v>
      </c>
      <c r="AD661" t="n">
        <v>0.254</v>
      </c>
      <c r="AE661" t="n">
        <v>0.485</v>
      </c>
      <c r="AF661" t="n">
        <v>0.749</v>
      </c>
      <c r="AG661" t="n">
        <v>1.057</v>
      </c>
    </row>
    <row r="662">
      <c r="AA662" t="n">
        <v>9</v>
      </c>
      <c r="AB662" t="n">
        <v>-0.05</v>
      </c>
      <c r="AC662" t="n">
        <v>0.1</v>
      </c>
      <c r="AD662" t="n">
        <v>0.21</v>
      </c>
      <c r="AE662" t="n">
        <v>0.43</v>
      </c>
      <c r="AF662" t="n">
        <v>0.694</v>
      </c>
      <c r="AG662" t="n">
        <v>0.991</v>
      </c>
    </row>
    <row r="663">
      <c r="AA663" t="inlineStr">
        <is>
          <t>We interpolate for contents and additions and alterations coverage amounts between $250,001 and $499,999.</t>
        </is>
      </c>
    </row>
    <row r="665">
      <c r="AB665" t="inlineStr">
        <is>
          <t>Amount of contents and additions and alterations coverage $1,000,000 or greater</t>
        </is>
      </c>
    </row>
    <row r="666">
      <c r="AA666" t="inlineStr">
        <is>
          <t>Risk tenure</t>
        </is>
      </c>
      <c r="AB666" t="n">
        <v>0</v>
      </c>
      <c r="AC666" t="n">
        <v>1</v>
      </c>
      <c r="AD666" t="n">
        <v>2</v>
      </c>
      <c r="AE666" t="n">
        <v>3</v>
      </c>
      <c r="AF666" t="n">
        <v>4</v>
      </c>
      <c r="AG666" t="n">
        <v>5</v>
      </c>
    </row>
    <row r="667">
      <c r="AA667" t="n">
        <v>0</v>
      </c>
      <c r="AB667" t="n">
        <v>0</v>
      </c>
      <c r="AC667" t="n">
        <v>0</v>
      </c>
      <c r="AD667" t="n">
        <v>0</v>
      </c>
      <c r="AE667" t="n">
        <v>0</v>
      </c>
      <c r="AF667" t="n">
        <v>0</v>
      </c>
      <c r="AG667" t="n">
        <v>0</v>
      </c>
    </row>
    <row r="668">
      <c r="AA668" t="n">
        <v>1</v>
      </c>
      <c r="AB668" t="n">
        <v>0</v>
      </c>
      <c r="AC668" t="n">
        <v>0.32</v>
      </c>
      <c r="AD668" t="n">
        <v>0.606</v>
      </c>
      <c r="AE668" t="n">
        <v>0.898</v>
      </c>
      <c r="AF668" t="n">
        <v>1.228</v>
      </c>
      <c r="AG668" t="n">
        <v>1.585</v>
      </c>
    </row>
    <row r="669">
      <c r="AA669" t="n">
        <v>2</v>
      </c>
      <c r="AB669" t="n">
        <v>0</v>
      </c>
      <c r="AC669" t="n">
        <v>0.276</v>
      </c>
      <c r="AD669" t="n">
        <v>0.551</v>
      </c>
      <c r="AE669" t="n">
        <v>0.843</v>
      </c>
      <c r="AF669" t="n">
        <v>1.167</v>
      </c>
      <c r="AG669" t="n">
        <v>1.508</v>
      </c>
    </row>
    <row r="670">
      <c r="AA670" t="n">
        <v>3</v>
      </c>
      <c r="AB670" t="n">
        <v>-0.015</v>
      </c>
      <c r="AC670" t="n">
        <v>0.221</v>
      </c>
      <c r="AD670" t="n">
        <v>0.496</v>
      </c>
      <c r="AE670" t="n">
        <v>0.782</v>
      </c>
      <c r="AF670" t="n">
        <v>1.09</v>
      </c>
      <c r="AG670" t="n">
        <v>1.431</v>
      </c>
    </row>
    <row r="671">
      <c r="AA671" t="n">
        <v>4</v>
      </c>
      <c r="AB671" t="n">
        <v>-0.02</v>
      </c>
      <c r="AC671" t="n">
        <v>0.177</v>
      </c>
      <c r="AD671" t="n">
        <v>0.441</v>
      </c>
      <c r="AE671" t="n">
        <v>0.705</v>
      </c>
      <c r="AF671" t="n">
        <v>1.013</v>
      </c>
      <c r="AG671" t="n">
        <v>1.343</v>
      </c>
    </row>
    <row r="672">
      <c r="AA672" t="n">
        <v>5</v>
      </c>
      <c r="AB672" t="n">
        <v>-0.025</v>
      </c>
      <c r="AC672" t="n">
        <v>0.155</v>
      </c>
      <c r="AD672" t="n">
        <v>0.397</v>
      </c>
      <c r="AE672" t="n">
        <v>0.639</v>
      </c>
      <c r="AF672" t="n">
        <v>0.9360000000000001</v>
      </c>
      <c r="AG672" t="n">
        <v>1.255</v>
      </c>
    </row>
    <row r="673">
      <c r="AA673" t="n">
        <v>6</v>
      </c>
      <c r="AB673" t="n">
        <v>-0.03</v>
      </c>
      <c r="AC673" t="n">
        <v>0.144</v>
      </c>
      <c r="AD673" t="n">
        <v>0.353</v>
      </c>
      <c r="AE673" t="n">
        <v>0.584</v>
      </c>
      <c r="AF673" t="n">
        <v>0.881</v>
      </c>
      <c r="AG673" t="n">
        <v>1.2</v>
      </c>
    </row>
    <row r="674">
      <c r="AA674" t="n">
        <v>7</v>
      </c>
      <c r="AB674" t="n">
        <v>-0.035</v>
      </c>
      <c r="AC674" t="n">
        <v>0.133</v>
      </c>
      <c r="AD674" t="n">
        <v>0.309</v>
      </c>
      <c r="AE674" t="n">
        <v>0.54</v>
      </c>
      <c r="AF674" t="n">
        <v>0.8149999999999999</v>
      </c>
      <c r="AG674" t="n">
        <v>1.123</v>
      </c>
    </row>
    <row r="675">
      <c r="AA675" t="n">
        <v>8</v>
      </c>
      <c r="AB675" t="n">
        <v>-0.04</v>
      </c>
      <c r="AC675" t="n">
        <v>0.117</v>
      </c>
      <c r="AD675" t="n">
        <v>0.254</v>
      </c>
      <c r="AE675" t="n">
        <v>0.485</v>
      </c>
      <c r="AF675" t="n">
        <v>0.749</v>
      </c>
      <c r="AG675" t="n">
        <v>1.057</v>
      </c>
    </row>
    <row r="676">
      <c r="AA676" t="n">
        <v>9</v>
      </c>
      <c r="AB676" t="n">
        <v>-0.05</v>
      </c>
      <c r="AC676" t="n">
        <v>0.1</v>
      </c>
      <c r="AD676" t="n">
        <v>0.21</v>
      </c>
      <c r="AE676" t="n">
        <v>0.43</v>
      </c>
      <c r="AF676" t="n">
        <v>0.694</v>
      </c>
      <c r="AG676" t="n">
        <v>0.991</v>
      </c>
    </row>
    <row r="677">
      <c r="AA677" t="inlineStr">
        <is>
          <t>We interpolate for contents and additions and alterations coverage amounts between $500,001 and $999,999.</t>
        </is>
      </c>
    </row>
    <row r="679">
      <c r="AA679" s="17" t="inlineStr">
        <is>
          <t>Liability (buildilng only shortcut)</t>
        </is>
      </c>
    </row>
    <row r="681">
      <c r="AA681" t="inlineStr">
        <is>
          <t>Amount of coverage</t>
        </is>
      </c>
      <c r="AB681" t="inlineStr">
        <is>
          <t>Primary location</t>
        </is>
      </c>
    </row>
    <row r="682">
      <c r="AA682" t="n">
        <v>50000</v>
      </c>
      <c r="AB682" t="n">
        <v>0</v>
      </c>
    </row>
    <row r="683">
      <c r="AA683" t="n">
        <v>100000</v>
      </c>
      <c r="AB683" t="n">
        <v>34</v>
      </c>
    </row>
    <row r="684">
      <c r="AA684" t="n">
        <v>200000</v>
      </c>
      <c r="AB684" t="n">
        <v>57</v>
      </c>
    </row>
    <row r="685">
      <c r="AA685" t="n">
        <v>300000</v>
      </c>
      <c r="AB685" t="n">
        <v>79</v>
      </c>
    </row>
    <row r="686">
      <c r="AA686" t="n">
        <v>500000</v>
      </c>
      <c r="AB686" t="n">
        <v>122</v>
      </c>
    </row>
    <row r="687">
      <c r="AA687" t="n">
        <v>1000000</v>
      </c>
      <c r="AB687" t="n">
        <v>154</v>
      </c>
    </row>
    <row r="688">
      <c r="AA688" t="n">
        <v>2000000</v>
      </c>
      <c r="AB688" t="n">
        <v>176</v>
      </c>
    </row>
    <row r="689">
      <c r="AA689" t="n">
        <v>3000000</v>
      </c>
      <c r="AB689" t="n">
        <v>184</v>
      </c>
    </row>
    <row r="690">
      <c r="AA690" t="n">
        <v>5000000</v>
      </c>
      <c r="AB690" t="n">
        <v>227</v>
      </c>
    </row>
    <row r="691">
      <c r="AA691" t="n">
        <v>10000000</v>
      </c>
      <c r="AB691" t="n">
        <v>391</v>
      </c>
    </row>
    <row r="693">
      <c r="AA693" s="17" t="inlineStr">
        <is>
          <t>House replacement Cost</t>
        </is>
      </c>
    </row>
    <row r="694">
      <c r="AA694" t="n">
        <v>-5</v>
      </c>
    </row>
    <row r="696">
      <c r="AA696" s="17" t="inlineStr">
        <is>
          <t>Worker's compensation/employer's liability surcharge</t>
        </is>
      </c>
    </row>
    <row r="697">
      <c r="AA697" t="inlineStr">
        <is>
          <t>Residence Employee</t>
        </is>
      </c>
      <c r="AB697" t="inlineStr">
        <is>
          <t>Surcharge</t>
        </is>
      </c>
    </row>
    <row r="698">
      <c r="AA698" t="inlineStr">
        <is>
          <t>Occasional</t>
        </is>
      </c>
      <c r="AB698" t="n">
        <v>110</v>
      </c>
    </row>
    <row r="699">
      <c r="AA699" t="inlineStr">
        <is>
          <t>Full-time inservant</t>
        </is>
      </c>
      <c r="AB699" t="n">
        <v>490</v>
      </c>
    </row>
    <row r="700">
      <c r="AA700" t="inlineStr">
        <is>
          <t>Full-time outservant</t>
        </is>
      </c>
      <c r="AB700" t="n">
        <v>380</v>
      </c>
    </row>
    <row r="702">
      <c r="AA702" s="17" t="inlineStr">
        <is>
          <t>Employment practices liability coverage</t>
        </is>
      </c>
    </row>
    <row r="703">
      <c r="AA703" t="inlineStr">
        <is>
          <t>Surcharge for Employment practices liability coverage with a $10,000 deductible</t>
        </is>
      </c>
    </row>
    <row r="705">
      <c r="AB705" t="inlineStr">
        <is>
          <t>Employment practices liability</t>
        </is>
      </c>
      <c r="AD705" t="inlineStr">
        <is>
          <t>Reputational injury</t>
        </is>
      </c>
    </row>
    <row r="706">
      <c r="AA706" t="inlineStr">
        <is>
          <t>Code</t>
        </is>
      </c>
      <c r="AB706" t="inlineStr">
        <is>
          <t>Amount of coverage</t>
        </is>
      </c>
      <c r="AC706" t="inlineStr">
        <is>
          <t>Maxmium annual amount of coverage</t>
        </is>
      </c>
      <c r="AD706" t="inlineStr">
        <is>
          <t>Amount of coverage</t>
        </is>
      </c>
      <c r="AE706" t="inlineStr">
        <is>
          <t>Maxmium annual amount of coverage</t>
        </is>
      </c>
      <c r="AF706" t="inlineStr">
        <is>
          <t>Additional premium</t>
        </is>
      </c>
    </row>
    <row r="707">
      <c r="AA707" t="inlineStr">
        <is>
          <t>None</t>
        </is>
      </c>
      <c r="AF707" t="n">
        <v>0</v>
      </c>
    </row>
    <row r="708">
      <c r="AA708" t="inlineStr">
        <is>
          <t>A</t>
        </is>
      </c>
      <c r="AB708" t="n">
        <v>250000</v>
      </c>
      <c r="AC708" t="n">
        <v>500000</v>
      </c>
      <c r="AD708" t="n">
        <v>25000</v>
      </c>
      <c r="AE708" t="n">
        <v>25000</v>
      </c>
      <c r="AF708" t="n">
        <v>1000</v>
      </c>
    </row>
    <row r="709">
      <c r="AA709" t="inlineStr">
        <is>
          <t>B</t>
        </is>
      </c>
      <c r="AB709" t="n">
        <v>500000</v>
      </c>
      <c r="AC709" t="n">
        <v>500000</v>
      </c>
      <c r="AD709" t="n">
        <v>50000</v>
      </c>
      <c r="AE709" t="n">
        <v>50000</v>
      </c>
      <c r="AF709" t="n">
        <v>1500</v>
      </c>
    </row>
    <row r="711">
      <c r="AA711" s="17" t="inlineStr">
        <is>
          <t>Family Protection Coverage</t>
        </is>
      </c>
    </row>
    <row r="712">
      <c r="AA712" t="n">
        <v>135</v>
      </c>
    </row>
    <row r="714">
      <c r="AA714" s="17" t="inlineStr">
        <is>
          <t>Homeowner/unit assessments</t>
        </is>
      </c>
    </row>
    <row r="715">
      <c r="AA715" t="inlineStr">
        <is>
          <t>For each additional</t>
        </is>
      </c>
      <c r="AB715" t="inlineStr">
        <is>
          <t>over</t>
        </is>
      </c>
      <c r="AC715" t="inlineStr">
        <is>
          <t>add</t>
        </is>
      </c>
      <c r="AD715" t="inlineStr">
        <is>
          <t>Refer</t>
        </is>
      </c>
      <c r="AE715" t="inlineStr">
        <is>
          <t>Refer</t>
        </is>
      </c>
    </row>
    <row r="716">
      <c r="AA716" t="n">
        <v>1000</v>
      </c>
      <c r="AB716" t="n">
        <v>50000</v>
      </c>
      <c r="AC716" t="n">
        <v>2</v>
      </c>
      <c r="AD716" t="n">
        <v>500000</v>
      </c>
      <c r="AE716">
        <f>E8</f>
        <v/>
      </c>
    </row>
    <row r="718">
      <c r="AA718" s="17" t="inlineStr">
        <is>
          <t>Landscaping</t>
        </is>
      </c>
    </row>
    <row r="719">
      <c r="AA719" t="inlineStr">
        <is>
          <t>For each additional</t>
        </is>
      </c>
      <c r="AB719" t="inlineStr">
        <is>
          <t>house coverage</t>
        </is>
      </c>
      <c r="AC719" t="inlineStr">
        <is>
          <t>contents coverage</t>
        </is>
      </c>
      <c r="AD719" t="inlineStr">
        <is>
          <t>over</t>
        </is>
      </c>
      <c r="AE719" t="inlineStr">
        <is>
          <t>add</t>
        </is>
      </c>
      <c r="AF719" t="inlineStr">
        <is>
          <t>Refer</t>
        </is>
      </c>
      <c r="AH719" t="inlineStr">
        <is>
          <t>Landscaping</t>
        </is>
      </c>
      <c r="AI719">
        <f>ROUND(CEILING(MAX(E94-AD720,0)/AA720,1)*AE720,2)</f>
        <v/>
      </c>
    </row>
    <row r="720">
      <c r="AA720" t="n">
        <v>1000</v>
      </c>
      <c r="AB720" s="4" t="n">
        <v>0.05</v>
      </c>
      <c r="AC720" s="4" t="n">
        <v>0.1</v>
      </c>
      <c r="AD720">
        <f>SUM(E8*AB720,E8*AC720)</f>
        <v/>
      </c>
      <c r="AE720" t="n">
        <v>4</v>
      </c>
      <c r="AF720" t="n">
        <v>250000</v>
      </c>
      <c r="AH720" t="inlineStr">
        <is>
          <t>Total trees excess $10,000</t>
        </is>
      </c>
      <c r="AI720">
        <f>ROUND(CEILING(MAX(E95-AB723,0)/AA723,1)*AC723,2)</f>
        <v/>
      </c>
    </row>
    <row r="721">
      <c r="AA721" t="inlineStr">
        <is>
          <t>Any one tree, shrub, or plant</t>
        </is>
      </c>
      <c r="AH721" t="inlineStr">
        <is>
          <t>Landscaping - wind and hail</t>
        </is>
      </c>
      <c r="AI721">
        <f>ROUND(CEILING(E97/AA727,1)*AB727,2)</f>
        <v/>
      </c>
    </row>
    <row r="722">
      <c r="AA722" t="inlineStr">
        <is>
          <t>For each additional</t>
        </is>
      </c>
      <c r="AB722" t="inlineStr">
        <is>
          <t>over</t>
        </is>
      </c>
      <c r="AC722" t="inlineStr">
        <is>
          <t>add</t>
        </is>
      </c>
      <c r="AD722" t="inlineStr">
        <is>
          <t>Refer</t>
        </is>
      </c>
      <c r="AH722" t="inlineStr">
        <is>
          <t>Landscaping - sleet and weight of ice and snow coverage</t>
        </is>
      </c>
      <c r="AI722">
        <f>ROUND(CEILING(E98/AA731,1)*AB731,2)</f>
        <v/>
      </c>
    </row>
    <row r="723">
      <c r="AA723" t="n">
        <v>5000</v>
      </c>
      <c r="AB723" t="n">
        <v>0</v>
      </c>
      <c r="AC723" t="n">
        <v>50</v>
      </c>
      <c r="AD723" t="n">
        <v>50000</v>
      </c>
    </row>
    <row r="725">
      <c r="AA725" s="17" t="inlineStr">
        <is>
          <t>Landscaping - wind and hail coverage</t>
        </is>
      </c>
    </row>
    <row r="726">
      <c r="AA726" t="inlineStr">
        <is>
          <t>For each</t>
        </is>
      </c>
      <c r="AB726" t="inlineStr">
        <is>
          <t>add</t>
        </is>
      </c>
    </row>
    <row r="727">
      <c r="AA727" t="n">
        <v>1000</v>
      </c>
      <c r="AB727" t="n">
        <v>15</v>
      </c>
    </row>
    <row r="729">
      <c r="AA729" s="17" t="inlineStr">
        <is>
          <t>Landscaping - sleet and weight of ice and snow coverage</t>
        </is>
      </c>
    </row>
    <row r="730">
      <c r="AA730" t="inlineStr">
        <is>
          <t>For each</t>
        </is>
      </c>
      <c r="AB730" t="inlineStr">
        <is>
          <t>add</t>
        </is>
      </c>
    </row>
    <row r="731">
      <c r="AA731" t="n">
        <v>1000</v>
      </c>
      <c r="AB731" t="n">
        <v>15</v>
      </c>
    </row>
    <row r="733">
      <c r="AA733" s="17" t="inlineStr">
        <is>
          <t>Business property</t>
        </is>
      </c>
    </row>
    <row r="734">
      <c r="AA734" t="inlineStr">
        <is>
          <t>For each additional</t>
        </is>
      </c>
      <c r="AB734" t="inlineStr">
        <is>
          <t>over</t>
        </is>
      </c>
      <c r="AC734" t="inlineStr">
        <is>
          <t>add</t>
        </is>
      </c>
      <c r="AD734" t="inlineStr">
        <is>
          <t>Refer</t>
        </is>
      </c>
    </row>
    <row r="735">
      <c r="AA735" t="n">
        <v>1000</v>
      </c>
      <c r="AB735" t="n">
        <v>25000</v>
      </c>
      <c r="AC735" t="n">
        <v>5</v>
      </c>
      <c r="AD735" t="n">
        <v>250000</v>
      </c>
    </row>
    <row r="737">
      <c r="AA737" s="17" t="inlineStr">
        <is>
          <t>Student additional living expenses</t>
        </is>
      </c>
    </row>
    <row r="738">
      <c r="AA738" t="inlineStr">
        <is>
          <t>For $5000</t>
        </is>
      </c>
      <c r="AB738" t="inlineStr">
        <is>
          <t>Add</t>
        </is>
      </c>
      <c r="AC738" t="inlineStr">
        <is>
          <t>For each additional</t>
        </is>
      </c>
      <c r="AD738" t="inlineStr">
        <is>
          <t>add</t>
        </is>
      </c>
      <c r="AE738" t="inlineStr">
        <is>
          <t>Refer</t>
        </is>
      </c>
    </row>
    <row r="739">
      <c r="AA739" t="n">
        <v>5000</v>
      </c>
      <c r="AB739" t="n">
        <v>25</v>
      </c>
      <c r="AC739" t="n">
        <v>1000</v>
      </c>
      <c r="AD739" t="n">
        <v>1.5</v>
      </c>
      <c r="AE739" t="n">
        <v>250000</v>
      </c>
    </row>
    <row r="741">
      <c r="AA741" s="17" t="inlineStr">
        <is>
          <t>Assisted living care coverage – contents of a relative-in-care</t>
        </is>
      </c>
    </row>
    <row r="742">
      <c r="AA742" t="inlineStr">
        <is>
          <t>For $5000</t>
        </is>
      </c>
      <c r="AB742" t="inlineStr">
        <is>
          <t>Add</t>
        </is>
      </c>
      <c r="AC742" t="inlineStr">
        <is>
          <t>For each additional</t>
        </is>
      </c>
      <c r="AD742" t="inlineStr">
        <is>
          <t>add</t>
        </is>
      </c>
      <c r="AE742" t="inlineStr">
        <is>
          <t>Refer</t>
        </is>
      </c>
    </row>
    <row r="743">
      <c r="AA743" t="n">
        <v>5000</v>
      </c>
      <c r="AB743" t="n">
        <v>50</v>
      </c>
      <c r="AC743" t="n">
        <v>1000</v>
      </c>
      <c r="AD743" t="n">
        <v>5</v>
      </c>
      <c r="AE743" t="n">
        <v>250000</v>
      </c>
    </row>
  </sheetData>
  <dataValidations count="25">
    <dataValidation sqref="E19" showDropDown="0" showInputMessage="1" showErrorMessage="1" allowBlank="1" type="list">
      <formula1>$AA$229:$AA$236</formula1>
    </dataValidation>
    <dataValidation sqref="E37" showDropDown="0" showInputMessage="1" showErrorMessage="1" allowBlank="1" type="list">
      <formula1>$AE$282:$AE$286</formula1>
    </dataValidation>
    <dataValidation sqref="E42" showDropDown="0" showInputMessage="1" showErrorMessage="1" allowBlank="1" type="list">
      <formula1>$AB$483:$AD$483</formula1>
    </dataValidation>
    <dataValidation sqref="E51" showDropDown="0" showInputMessage="1" showErrorMessage="1" allowBlank="1" type="list">
      <formula1>$AF$505:$AF$507</formula1>
    </dataValidation>
    <dataValidation sqref="E75" showDropDown="0" showInputMessage="1" showErrorMessage="1" allowBlank="1" type="list">
      <formula1>$AI$585:$AI$587</formula1>
    </dataValidation>
    <dataValidation sqref="E68" showDropDown="0" showInputMessage="1" showErrorMessage="1" allowBlank="1" type="list">
      <formula1>$AD$541:$AD$544</formula1>
    </dataValidation>
    <dataValidation sqref="E41" showDropDown="0" showInputMessage="1" showErrorMessage="1" allowBlank="1" type="list">
      <formula1>$AB$458:$AK$458</formula1>
    </dataValidation>
    <dataValidation sqref="E77" showDropDown="0" showInputMessage="1" showErrorMessage="1" allowBlank="1" type="whole">
      <formula1>0</formula1>
      <formula2>5</formula2>
    </dataValidation>
    <dataValidation sqref="E7" showDropDown="0" showInputMessage="1" showErrorMessage="1" allowBlank="1" type="whole" operator="greaterThanOrEqual">
      <formula1>E6</formula1>
    </dataValidation>
    <dataValidation sqref="E6" showDropDown="0" showInputMessage="1" showErrorMessage="1" allowBlank="1" type="whole">
      <formula1>1900</formula1>
      <formula2>2021</formula2>
    </dataValidation>
    <dataValidation sqref="E29" showDropDown="0" showInputMessage="1" showErrorMessage="1" allowBlank="1" type="list">
      <formula1>$AA$274:$AA$278</formula1>
    </dataValidation>
    <dataValidation sqref="E30" showDropDown="0" showInputMessage="1" showErrorMessage="1" allowBlank="1" type="list">
      <formula1>$AB$273:$AF$273</formula1>
    </dataValidation>
    <dataValidation sqref="E10" showDropDown="0" showInputMessage="1" showErrorMessage="1" allowBlank="1" type="list">
      <formula1>$AA$14:$AA$16</formula1>
    </dataValidation>
    <dataValidation sqref="E79" showDropDown="0" showInputMessage="1" showErrorMessage="1" allowBlank="1" type="list">
      <formula1>$AA$682:$AA$691</formula1>
    </dataValidation>
    <dataValidation sqref="E17 E24:E26 E33:E35 E45:E50 E52 E58:E67 E71:E74 E76 E81 E84 E90" showDropDown="0" showInputMessage="1" showErrorMessage="1" allowBlank="1" type="list">
      <formula1>$AO$5:$AO$6</formula1>
    </dataValidation>
    <dataValidation sqref="E40" showDropDown="0" showInputMessage="1" showErrorMessage="1" allowBlank="1" type="list">
      <formula1>$AB$434:$AK$434</formula1>
    </dataValidation>
    <dataValidation sqref="E88" showDropDown="0" showInputMessage="1" showErrorMessage="1" allowBlank="1" type="list">
      <formula1>$AA$707:$AA$709</formula1>
    </dataValidation>
    <dataValidation sqref="E54:E55 E85:E86 E92 E94:E98 E100 E102 E104" showDropDown="0" showInputMessage="1" showErrorMessage="1" allowBlank="1" type="whole" operator="greaterThanOrEqual">
      <formula1>0</formula1>
    </dataValidation>
    <dataValidation sqref="E15:E16" showDropDown="0" showInputMessage="1" showErrorMessage="1" allowBlank="1" type="decimal" operator="greaterThanOrEqual">
      <formula1>0.05</formula1>
    </dataValidation>
    <dataValidation sqref="E12 E15:E17 E19" showDropDown="0" showInputMessage="1" showErrorMessage="1" allowBlank="1" type="list">
      <formula1>$AA$32:$AA$108</formula1>
    </dataValidation>
    <dataValidation sqref="E21" showDropDown="0" showInputMessage="1" showErrorMessage="1" allowBlank="1" type="list">
      <formula1>$AA$241:$AA$246</formula1>
    </dataValidation>
    <dataValidation sqref="E36" showDropDown="0" showInputMessage="1" showErrorMessage="1" allowBlank="1" type="list">
      <formula1>$AH$282:$AH$284</formula1>
    </dataValidation>
    <dataValidation sqref="E53" showDropDown="0" showInputMessage="1" showErrorMessage="1" allowBlank="1" type="list">
      <formula1>$AF$523:$AF$526</formula1>
    </dataValidation>
    <dataValidation sqref="E15:E16" showDropDown="0" showInputMessage="1" showErrorMessage="1" allowBlank="1" type="decimal" operator="greaterThanOrEqual">
      <formula1>0</formula1>
    </dataValidation>
    <dataValidation sqref="E8" showDropDown="0" showInputMessage="1" showErrorMessage="1" allowBlank="1" type="whole">
      <formula1>500000</formula1>
      <formula2>3000000</formula2>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field</t>
        </is>
      </c>
      <c r="B1" t="inlineStr">
        <is>
          <t>cell</t>
        </is>
      </c>
      <c r="C1" t="inlineStr">
        <is>
          <t>type</t>
        </is>
      </c>
      <c r="D1" t="inlineStr">
        <is>
          <t>label</t>
        </is>
      </c>
      <c r="E1" t="inlineStr">
        <is>
          <t>direction</t>
        </is>
      </c>
      <c r="F1" t="inlineStr">
        <is>
          <t>group</t>
        </is>
      </c>
      <c r="G1" t="inlineStr">
        <is>
          <t>options</t>
        </is>
      </c>
      <c r="H1" t="inlineStr">
        <is>
          <t>default</t>
        </is>
      </c>
    </row>
    <row r="2">
      <c r="A2" t="inlineStr">
        <is>
          <t>effective_date</t>
        </is>
      </c>
      <c r="B2" t="inlineStr">
        <is>
          <t>E5</t>
        </is>
      </c>
      <c r="C2" t="inlineStr">
        <is>
          <t>text</t>
        </is>
      </c>
      <c r="D2" t="inlineStr">
        <is>
          <t>Effective Date</t>
        </is>
      </c>
      <c r="E2" t="inlineStr">
        <is>
          <t>input</t>
        </is>
      </c>
      <c r="F2" t="inlineStr">
        <is>
          <t>Property Basics</t>
        </is>
      </c>
      <c r="H2" t="inlineStr">
        <is>
          <t>2021-07-01</t>
        </is>
      </c>
    </row>
    <row r="3">
      <c r="A3" t="inlineStr">
        <is>
          <t>year_built</t>
        </is>
      </c>
      <c r="B3" t="inlineStr">
        <is>
          <t>E6</t>
        </is>
      </c>
      <c r="C3" t="inlineStr">
        <is>
          <t>number</t>
        </is>
      </c>
      <c r="D3" t="inlineStr">
        <is>
          <t>Year Built</t>
        </is>
      </c>
      <c r="E3" t="inlineStr">
        <is>
          <t>input</t>
        </is>
      </c>
      <c r="F3" t="inlineStr">
        <is>
          <t>Property Basics</t>
        </is>
      </c>
      <c r="H3" t="inlineStr">
        <is>
          <t>1999</t>
        </is>
      </c>
    </row>
    <row r="4">
      <c r="A4" t="inlineStr">
        <is>
          <t>renovation_year</t>
        </is>
      </c>
      <c r="B4" t="inlineStr">
        <is>
          <t>E7</t>
        </is>
      </c>
      <c r="C4" t="inlineStr">
        <is>
          <t>number</t>
        </is>
      </c>
      <c r="D4" t="inlineStr">
        <is>
          <t>Renovation Year</t>
        </is>
      </c>
      <c r="E4" t="inlineStr">
        <is>
          <t>input</t>
        </is>
      </c>
      <c r="F4" t="inlineStr">
        <is>
          <t>Property Basics</t>
        </is>
      </c>
      <c r="H4" t="inlineStr">
        <is>
          <t>1999</t>
        </is>
      </c>
    </row>
    <row r="5">
      <c r="A5" t="inlineStr">
        <is>
          <t>building_limit</t>
        </is>
      </c>
      <c r="B5" t="inlineStr">
        <is>
          <t>E8</t>
        </is>
      </c>
      <c r="C5" t="inlineStr">
        <is>
          <t>number</t>
        </is>
      </c>
      <c r="D5" t="inlineStr">
        <is>
          <t>Building limit</t>
        </is>
      </c>
      <c r="E5" t="inlineStr">
        <is>
          <t>input</t>
        </is>
      </c>
      <c r="F5" t="inlineStr">
        <is>
          <t>Property Basics</t>
        </is>
      </c>
      <c r="H5" t="inlineStr">
        <is>
          <t>1000000</t>
        </is>
      </c>
    </row>
    <row r="6">
      <c r="A6" t="inlineStr">
        <is>
          <t>coverage_type</t>
        </is>
      </c>
      <c r="B6" t="inlineStr">
        <is>
          <t>E10</t>
        </is>
      </c>
      <c r="C6" t="inlineStr">
        <is>
          <t>dropdown</t>
        </is>
      </c>
      <c r="D6" t="inlineStr">
        <is>
          <t>Coverage type</t>
        </is>
      </c>
      <c r="E6" t="inlineStr">
        <is>
          <t>input</t>
        </is>
      </c>
      <c r="F6" t="inlineStr">
        <is>
          <t>Property Basics</t>
        </is>
      </c>
      <c r="G6" t="inlineStr">
        <is>
          <t>Deluxe house/deluxe contents;Deluxe house/standard contents;Deluxe house without contents or with fire contents*</t>
        </is>
      </c>
      <c r="H6" t="inlineStr">
        <is>
          <t>Deluxe house/deluxe contents</t>
        </is>
      </c>
    </row>
    <row r="7">
      <c r="A7" t="inlineStr">
        <is>
          <t>territory</t>
        </is>
      </c>
      <c r="B7" t="inlineStr">
        <is>
          <t>E12</t>
        </is>
      </c>
      <c r="C7" t="inlineStr">
        <is>
          <t>dropdown</t>
        </is>
      </c>
      <c r="D7" t="inlineStr">
        <is>
          <t>Territory</t>
        </is>
      </c>
      <c r="E7" t="inlineStr">
        <is>
          <t>input</t>
        </is>
      </c>
      <c r="F7" t="inlineStr">
        <is>
          <t>Property Basics</t>
        </is>
      </c>
      <c r="G7" t="inlineStr">
        <is>
          <t>3;4;6;7;8;10;11;17;18;20;21;22;24;25;26;28;30;31;32;34;36;38;39;40;51;55;58;67;69;70;72;73;75;76;77;78;79;86;88;89;90;92;93;94;95;98;100;101;102;106;110;112;113;114;116;118;119;122;124;125;127;130;132;136;137;138;139;140;141;142;151;156;157;177;188;189;190</t>
        </is>
      </c>
      <c r="H7" t="inlineStr">
        <is>
          <t>3</t>
        </is>
      </c>
    </row>
    <row r="8">
      <c r="A8" t="inlineStr">
        <is>
          <t>contents_adjustment</t>
        </is>
      </c>
      <c r="B8" t="inlineStr">
        <is>
          <t>E15</t>
        </is>
      </c>
      <c r="C8" t="inlineStr">
        <is>
          <t>number</t>
        </is>
      </c>
      <c r="D8" t="inlineStr">
        <is>
          <t>Contents adjustment</t>
        </is>
      </c>
      <c r="E8" t="inlineStr">
        <is>
          <t>input</t>
        </is>
      </c>
      <c r="F8" t="inlineStr">
        <is>
          <t>Coverage Adjustments</t>
        </is>
      </c>
      <c r="H8" t="inlineStr">
        <is>
          <t>0.2</t>
        </is>
      </c>
    </row>
    <row r="9">
      <c r="A9" t="inlineStr">
        <is>
          <t>other_permanent_structures</t>
        </is>
      </c>
      <c r="B9" t="inlineStr">
        <is>
          <t>E16</t>
        </is>
      </c>
      <c r="C9" t="inlineStr">
        <is>
          <t>number</t>
        </is>
      </c>
      <c r="D9" t="inlineStr">
        <is>
          <t>Other permanent structures</t>
        </is>
      </c>
      <c r="E9" t="inlineStr">
        <is>
          <t>input</t>
        </is>
      </c>
      <c r="F9" t="inlineStr">
        <is>
          <t>Coverage Adjustments</t>
        </is>
      </c>
      <c r="H9" t="inlineStr">
        <is>
          <t>0.05</t>
        </is>
      </c>
    </row>
    <row r="10">
      <c r="A10" t="inlineStr">
        <is>
          <t>actual_cash_value</t>
        </is>
      </c>
      <c r="B10" t="inlineStr">
        <is>
          <t>E17</t>
        </is>
      </c>
      <c r="C10" t="inlineStr">
        <is>
          <t>dropdown</t>
        </is>
      </c>
      <c r="D10" t="inlineStr">
        <is>
          <t>Actual cash value</t>
        </is>
      </c>
      <c r="E10" t="inlineStr">
        <is>
          <t>input</t>
        </is>
      </c>
      <c r="F10" t="inlineStr">
        <is>
          <t>Coverage Adjustments</t>
        </is>
      </c>
      <c r="G10" t="inlineStr">
        <is>
          <t>3;4;6;7;8;10;11;17;18;20;21;22;24;25;26;28;30;31;32;34;36;38;39;40;51;55;58;67;69;70;72;73;75;76;77;78;79;86;88;89;90;92;93;94;95;98;100;101;102;106;110;112;113;114;116;118;119;122;124;125;127;130;132;136;137;138;139;140;141;142;151;156;157;177;188;189;190</t>
        </is>
      </c>
      <c r="H10" t="inlineStr">
        <is>
          <t>No</t>
        </is>
      </c>
    </row>
    <row r="11">
      <c r="A11" t="inlineStr">
        <is>
          <t>mold_remediation_expenses</t>
        </is>
      </c>
      <c r="B11" t="inlineStr">
        <is>
          <t>E19</t>
        </is>
      </c>
      <c r="C11" t="inlineStr">
        <is>
          <t>dropdown</t>
        </is>
      </c>
      <c r="D11" t="inlineStr">
        <is>
          <t>Mold remediation expenses</t>
        </is>
      </c>
      <c r="E11" t="inlineStr">
        <is>
          <t>input</t>
        </is>
      </c>
      <c r="F11" t="inlineStr">
        <is>
          <t>Coverage Adjustments</t>
        </is>
      </c>
      <c r="G11" t="inlineStr">
        <is>
          <t>3;4;6;7;8;10;11;17;18;20;21;22;24;25;26;28;30;31;32;34;36;38;39;40;51;55;58;67;69;70;72;73;75;76;77;78;79;86;88;89;90;92;93;94;95;98;100;101;102;106;110;112;113;114;116;118;119;122;124;125;127;130;132;136;137;138;139;140;141;142;151;156;157;177;188;189;190</t>
        </is>
      </c>
      <c r="H11" t="inlineStr">
        <is>
          <t>0</t>
        </is>
      </c>
    </row>
    <row r="12">
      <c r="A12" t="inlineStr">
        <is>
          <t>greenwise_upgrade</t>
        </is>
      </c>
      <c r="B12" t="inlineStr">
        <is>
          <t>E21</t>
        </is>
      </c>
      <c r="C12" t="inlineStr">
        <is>
          <t>dropdown</t>
        </is>
      </c>
      <c r="D12" t="inlineStr">
        <is>
          <t>GreenWise upgrade</t>
        </is>
      </c>
      <c r="E12" t="inlineStr">
        <is>
          <t>input</t>
        </is>
      </c>
      <c r="F12" t="inlineStr">
        <is>
          <t>Coverage Adjustments</t>
        </is>
      </c>
      <c r="G12" t="inlineStr">
        <is>
          <t>0;0.1;0.25;0.5;0.75;1</t>
        </is>
      </c>
      <c r="H12" t="inlineStr">
        <is>
          <t>0</t>
        </is>
      </c>
    </row>
    <row r="13">
      <c r="A13" t="inlineStr">
        <is>
          <t>fire_station</t>
        </is>
      </c>
      <c r="B13" t="inlineStr">
        <is>
          <t>E24</t>
        </is>
      </c>
      <c r="C13" t="inlineStr">
        <is>
          <t>dropdown</t>
        </is>
      </c>
      <c r="D13" t="inlineStr">
        <is>
          <t>Fire station</t>
        </is>
      </c>
      <c r="E13" t="inlineStr">
        <is>
          <t>input</t>
        </is>
      </c>
      <c r="F13" t="inlineStr">
        <is>
          <t>Wildfire and Protection</t>
        </is>
      </c>
      <c r="G13" t="inlineStr">
        <is>
          <t>Yes;No</t>
        </is>
      </c>
      <c r="H13" t="inlineStr">
        <is>
          <t>Yes</t>
        </is>
      </c>
    </row>
    <row r="14">
      <c r="A14" t="inlineStr">
        <is>
          <t>fire_hydrant</t>
        </is>
      </c>
      <c r="B14" t="inlineStr">
        <is>
          <t>E25</t>
        </is>
      </c>
      <c r="C14" t="inlineStr">
        <is>
          <t>dropdown</t>
        </is>
      </c>
      <c r="D14" t="inlineStr">
        <is>
          <t>Fire hydrant</t>
        </is>
      </c>
      <c r="E14" t="inlineStr">
        <is>
          <t>input</t>
        </is>
      </c>
      <c r="F14" t="inlineStr">
        <is>
          <t>Wildfire and Protection</t>
        </is>
      </c>
      <c r="G14" t="inlineStr">
        <is>
          <t>Yes;No</t>
        </is>
      </c>
      <c r="H14" t="inlineStr">
        <is>
          <t>Yes</t>
        </is>
      </c>
    </row>
    <row r="15">
      <c r="A15" t="inlineStr">
        <is>
          <t>central_station</t>
        </is>
      </c>
      <c r="B15" t="inlineStr">
        <is>
          <t>E26</t>
        </is>
      </c>
      <c r="C15" t="inlineStr">
        <is>
          <t>dropdown</t>
        </is>
      </c>
      <c r="D15" t="inlineStr">
        <is>
          <t>Central station</t>
        </is>
      </c>
      <c r="E15" t="inlineStr">
        <is>
          <t>input</t>
        </is>
      </c>
      <c r="F15" t="inlineStr">
        <is>
          <t>Wildfire and Protection</t>
        </is>
      </c>
      <c r="G15" t="inlineStr">
        <is>
          <t>Yes;No</t>
        </is>
      </c>
      <c r="H15" t="inlineStr">
        <is>
          <t>Yes</t>
        </is>
      </c>
    </row>
    <row r="16">
      <c r="A16" t="inlineStr">
        <is>
          <t>zone_hazard</t>
        </is>
      </c>
      <c r="B16" t="inlineStr">
        <is>
          <t>E29</t>
        </is>
      </c>
      <c r="C16" t="inlineStr">
        <is>
          <t>dropdown</t>
        </is>
      </c>
      <c r="D16" t="inlineStr">
        <is>
          <t>Zone Hazard</t>
        </is>
      </c>
      <c r="E16" t="inlineStr">
        <is>
          <t>input</t>
        </is>
      </c>
      <c r="F16" t="inlineStr">
        <is>
          <t>Wildfire and Protection</t>
        </is>
      </c>
      <c r="G16" t="inlineStr">
        <is>
          <t>Urban Unzoned;Non-Wildland/Non-Urban;Moderate;High;Very High</t>
        </is>
      </c>
      <c r="H16" t="inlineStr">
        <is>
          <t>Urban Unzoned</t>
        </is>
      </c>
    </row>
    <row r="17">
      <c r="A17" t="inlineStr">
        <is>
          <t>site_hazard</t>
        </is>
      </c>
      <c r="B17" t="inlineStr">
        <is>
          <t>E30</t>
        </is>
      </c>
      <c r="C17" t="inlineStr">
        <is>
          <t>dropdown</t>
        </is>
      </c>
      <c r="D17" t="inlineStr">
        <is>
          <t>Site Hazard</t>
        </is>
      </c>
      <c r="E17" t="inlineStr">
        <is>
          <t>input</t>
        </is>
      </c>
      <c r="F17" t="inlineStr">
        <is>
          <t>Wildfire and Protection</t>
        </is>
      </c>
      <c r="G17" t="inlineStr">
        <is>
          <t>No threat;Moderate;High;Very High;Extreme</t>
        </is>
      </c>
      <c r="H17" t="inlineStr">
        <is>
          <t>No threat</t>
        </is>
      </c>
    </row>
    <row r="18">
      <c r="A18" t="inlineStr">
        <is>
          <t>shelter_in_place</t>
        </is>
      </c>
      <c r="B18" t="inlineStr">
        <is>
          <t>E33</t>
        </is>
      </c>
      <c r="C18" t="inlineStr">
        <is>
          <t>dropdown</t>
        </is>
      </c>
      <c r="D18" t="inlineStr">
        <is>
          <t>Shelter in place</t>
        </is>
      </c>
      <c r="E18" t="inlineStr">
        <is>
          <t>input</t>
        </is>
      </c>
      <c r="F18" t="inlineStr">
        <is>
          <t>Wildfire and Protection</t>
        </is>
      </c>
      <c r="G18" t="inlineStr">
        <is>
          <t>Yes;No</t>
        </is>
      </c>
      <c r="H18" t="inlineStr">
        <is>
          <t>Yes</t>
        </is>
      </c>
    </row>
    <row r="19">
      <c r="A19" t="inlineStr">
        <is>
          <t>no_combustible_exterior</t>
        </is>
      </c>
      <c r="B19" t="inlineStr">
        <is>
          <t>E34</t>
        </is>
      </c>
      <c r="C19" t="inlineStr">
        <is>
          <t>dropdown</t>
        </is>
      </c>
      <c r="D19" t="inlineStr">
        <is>
          <t>No combustible exterior</t>
        </is>
      </c>
      <c r="E19" t="inlineStr">
        <is>
          <t>input</t>
        </is>
      </c>
      <c r="F19" t="inlineStr">
        <is>
          <t>Wildfire and Protection</t>
        </is>
      </c>
      <c r="G19" t="inlineStr">
        <is>
          <t>Yes;No</t>
        </is>
      </c>
      <c r="H19" t="inlineStr">
        <is>
          <t>Yes</t>
        </is>
      </c>
    </row>
    <row r="20">
      <c r="A20" t="inlineStr">
        <is>
          <t>flame_ember_resistant_vents</t>
        </is>
      </c>
      <c r="B20" t="inlineStr">
        <is>
          <t>E35</t>
        </is>
      </c>
      <c r="C20" t="inlineStr">
        <is>
          <t>dropdown</t>
        </is>
      </c>
      <c r="D20" t="inlineStr">
        <is>
          <t>Flame/ember resistant vents</t>
        </is>
      </c>
      <c r="E20" t="inlineStr">
        <is>
          <t>input</t>
        </is>
      </c>
      <c r="F20" t="inlineStr">
        <is>
          <t>Wildfire and Protection</t>
        </is>
      </c>
      <c r="G20" t="inlineStr">
        <is>
          <t>Yes;No</t>
        </is>
      </c>
      <c r="H20" t="inlineStr">
        <is>
          <t>Yes</t>
        </is>
      </c>
    </row>
    <row r="21">
      <c r="A21" t="inlineStr">
        <is>
          <t>defensible_space_adjustment</t>
        </is>
      </c>
      <c r="B21" t="inlineStr">
        <is>
          <t>E36</t>
        </is>
      </c>
      <c r="C21" t="inlineStr">
        <is>
          <t>dropdown</t>
        </is>
      </c>
      <c r="D21" t="inlineStr">
        <is>
          <t>Defensible space adjustment</t>
        </is>
      </c>
      <c r="E21" t="inlineStr">
        <is>
          <t>input</t>
        </is>
      </c>
      <c r="F21" t="inlineStr">
        <is>
          <t>Wildfire and Protection</t>
        </is>
      </c>
      <c r="G21" t="inlineStr">
        <is>
          <t>Superior;Normal;Inferior</t>
        </is>
      </c>
      <c r="H21" t="inlineStr">
        <is>
          <t>Superior</t>
        </is>
      </c>
    </row>
    <row r="22">
      <c r="A22" t="inlineStr">
        <is>
          <t>wildfire_suppression_system</t>
        </is>
      </c>
      <c r="B22" t="inlineStr">
        <is>
          <t>E37</t>
        </is>
      </c>
      <c r="C22" t="inlineStr">
        <is>
          <t>dropdown</t>
        </is>
      </c>
      <c r="D22" t="inlineStr">
        <is>
          <t>Wildfire suppression system</t>
        </is>
      </c>
      <c r="E22" t="inlineStr">
        <is>
          <t>input</t>
        </is>
      </c>
      <c r="F22" t="inlineStr">
        <is>
          <t>Wildfire and Protection</t>
        </is>
      </c>
      <c r="G22" t="inlineStr">
        <is>
          <t>Auto retardant;Auto water;Manual;None;Insufficient</t>
        </is>
      </c>
      <c r="H22" t="inlineStr">
        <is>
          <t>Auto retardant</t>
        </is>
      </c>
    </row>
    <row r="23">
      <c r="A23" t="inlineStr">
        <is>
          <t>base_deductible_factor</t>
        </is>
      </c>
      <c r="B23" t="inlineStr">
        <is>
          <t>E40</t>
        </is>
      </c>
      <c r="C23" t="inlineStr">
        <is>
          <t>dropdown</t>
        </is>
      </c>
      <c r="D23" t="inlineStr">
        <is>
          <t>Base deductible factor</t>
        </is>
      </c>
      <c r="E23" t="inlineStr">
        <is>
          <t>input</t>
        </is>
      </c>
      <c r="F23" t="inlineStr">
        <is>
          <t>Deductibles</t>
        </is>
      </c>
      <c r="G23" t="inlineStr">
        <is>
          <t>250;500;1000;2500;5000;7500;10000;25000;50000;100000</t>
        </is>
      </c>
      <c r="H23" t="inlineStr">
        <is>
          <t>1000</t>
        </is>
      </c>
    </row>
    <row r="24">
      <c r="A24" t="inlineStr">
        <is>
          <t>brush_fire_or_wildfire_deductible</t>
        </is>
      </c>
      <c r="B24" t="inlineStr">
        <is>
          <t>E41</t>
        </is>
      </c>
      <c r="C24" t="inlineStr">
        <is>
          <t>dropdown</t>
        </is>
      </c>
      <c r="D24" t="inlineStr">
        <is>
          <t>Brush fire or wildfire deductible</t>
        </is>
      </c>
      <c r="E24" t="inlineStr">
        <is>
          <t>input</t>
        </is>
      </c>
      <c r="F24" t="inlineStr">
        <is>
          <t>Deductibles</t>
        </is>
      </c>
      <c r="G24" t="inlineStr">
        <is>
          <t>250;500;1000;2500;5000;7500;10000;25000;50000;100000</t>
        </is>
      </c>
      <c r="H24" t="inlineStr">
        <is>
          <t>10000</t>
        </is>
      </c>
    </row>
    <row r="25">
      <c r="A25" t="inlineStr">
        <is>
          <t>wind_or_hail_deductible</t>
        </is>
      </c>
      <c r="B25" t="inlineStr">
        <is>
          <t>E42</t>
        </is>
      </c>
      <c r="C25" t="inlineStr">
        <is>
          <t>dropdown</t>
        </is>
      </c>
      <c r="D25" t="inlineStr">
        <is>
          <t>Wind or hail deductible</t>
        </is>
      </c>
      <c r="E25" t="inlineStr">
        <is>
          <t>input</t>
        </is>
      </c>
      <c r="F25" t="inlineStr">
        <is>
          <t>Deductibles</t>
        </is>
      </c>
      <c r="G25" t="inlineStr">
        <is>
          <t>0.005;0.01;0.02</t>
        </is>
      </c>
      <c r="H25" t="inlineStr">
        <is>
          <t>0.005</t>
        </is>
      </c>
    </row>
    <row r="26">
      <c r="A26" t="inlineStr">
        <is>
          <t>burglar_alarm</t>
        </is>
      </c>
      <c r="B26" t="inlineStr">
        <is>
          <t>E45</t>
        </is>
      </c>
      <c r="C26" t="inlineStr">
        <is>
          <t>dropdown</t>
        </is>
      </c>
      <c r="D26" t="inlineStr">
        <is>
          <t>Burglar alarm</t>
        </is>
      </c>
      <c r="E26" t="inlineStr">
        <is>
          <t>input</t>
        </is>
      </c>
      <c r="F26" t="inlineStr">
        <is>
          <t>Discounts and Surcharges</t>
        </is>
      </c>
      <c r="G26" t="inlineStr">
        <is>
          <t>Yes;No</t>
        </is>
      </c>
      <c r="H26" t="inlineStr">
        <is>
          <t>Yes</t>
        </is>
      </c>
    </row>
    <row r="27">
      <c r="A27" t="inlineStr">
        <is>
          <t>gated_community</t>
        </is>
      </c>
      <c r="B27" t="inlineStr">
        <is>
          <t>E46</t>
        </is>
      </c>
      <c r="C27" t="inlineStr">
        <is>
          <t>dropdown</t>
        </is>
      </c>
      <c r="D27" t="inlineStr">
        <is>
          <t>Gated community</t>
        </is>
      </c>
      <c r="E27" t="inlineStr">
        <is>
          <t>input</t>
        </is>
      </c>
      <c r="F27" t="inlineStr">
        <is>
          <t>Discounts and Surcharges</t>
        </is>
      </c>
      <c r="G27" t="inlineStr">
        <is>
          <t>Yes;No</t>
        </is>
      </c>
      <c r="H27" t="inlineStr">
        <is>
          <t>No</t>
        </is>
      </c>
    </row>
    <row r="28">
      <c r="A28" t="inlineStr">
        <is>
          <t>gated_community_patrol_service</t>
        </is>
      </c>
      <c r="B28" t="inlineStr">
        <is>
          <t>E47</t>
        </is>
      </c>
      <c r="C28" t="inlineStr">
        <is>
          <t>dropdown</t>
        </is>
      </c>
      <c r="D28" t="inlineStr">
        <is>
          <t>Gated community patrol service</t>
        </is>
      </c>
      <c r="E28" t="inlineStr">
        <is>
          <t>input</t>
        </is>
      </c>
      <c r="F28" t="inlineStr">
        <is>
          <t>Discounts and Surcharges</t>
        </is>
      </c>
      <c r="G28" t="inlineStr">
        <is>
          <t>Yes;No</t>
        </is>
      </c>
      <c r="H28" t="inlineStr">
        <is>
          <t>No</t>
        </is>
      </c>
    </row>
    <row r="29">
      <c r="A29" t="inlineStr">
        <is>
          <t>residential_sprinkler_system</t>
        </is>
      </c>
      <c r="B29" t="inlineStr">
        <is>
          <t>E48</t>
        </is>
      </c>
      <c r="C29" t="inlineStr">
        <is>
          <t>dropdown</t>
        </is>
      </c>
      <c r="D29" t="inlineStr">
        <is>
          <t>Residential sprinkler system</t>
        </is>
      </c>
      <c r="E29" t="inlineStr">
        <is>
          <t>input</t>
        </is>
      </c>
      <c r="F29" t="inlineStr">
        <is>
          <t>Discounts and Surcharges</t>
        </is>
      </c>
      <c r="G29" t="inlineStr">
        <is>
          <t>Yes;No</t>
        </is>
      </c>
      <c r="H29" t="inlineStr">
        <is>
          <t>No</t>
        </is>
      </c>
    </row>
    <row r="30">
      <c r="A30" t="inlineStr">
        <is>
          <t>fire_resistive</t>
        </is>
      </c>
      <c r="B30" t="inlineStr">
        <is>
          <t>E49</t>
        </is>
      </c>
      <c r="C30" t="inlineStr">
        <is>
          <t>dropdown</t>
        </is>
      </c>
      <c r="D30" t="inlineStr">
        <is>
          <t>Fire resistive</t>
        </is>
      </c>
      <c r="E30" t="inlineStr">
        <is>
          <t>input</t>
        </is>
      </c>
      <c r="F30" t="inlineStr">
        <is>
          <t>Discounts and Surcharges</t>
        </is>
      </c>
      <c r="G30" t="inlineStr">
        <is>
          <t>Yes;No</t>
        </is>
      </c>
      <c r="H30" t="inlineStr">
        <is>
          <t>No</t>
        </is>
      </c>
    </row>
    <row r="31">
      <c r="A31" t="inlineStr">
        <is>
          <t>suburban_rating</t>
        </is>
      </c>
      <c r="B31" t="inlineStr">
        <is>
          <t>E50</t>
        </is>
      </c>
      <c r="C31" t="inlineStr">
        <is>
          <t>dropdown</t>
        </is>
      </c>
      <c r="D31" t="inlineStr">
        <is>
          <t>Suburban rating</t>
        </is>
      </c>
      <c r="E31" t="inlineStr">
        <is>
          <t>input</t>
        </is>
      </c>
      <c r="F31" t="inlineStr">
        <is>
          <t>Discounts and Surcharges</t>
        </is>
      </c>
      <c r="G31" t="inlineStr">
        <is>
          <t>Yes;No</t>
        </is>
      </c>
      <c r="H31" t="inlineStr">
        <is>
          <t>No</t>
        </is>
      </c>
    </row>
    <row r="32">
      <c r="A32" t="inlineStr">
        <is>
          <t>payment_history</t>
        </is>
      </c>
      <c r="B32" t="inlineStr">
        <is>
          <t>E51</t>
        </is>
      </c>
      <c r="C32" t="inlineStr">
        <is>
          <t>dropdown</t>
        </is>
      </c>
      <c r="D32" t="inlineStr">
        <is>
          <t>Payment history</t>
        </is>
      </c>
      <c r="E32" t="inlineStr">
        <is>
          <t>input</t>
        </is>
      </c>
      <c r="F32" t="inlineStr">
        <is>
          <t>Discounts and Surcharges</t>
        </is>
      </c>
      <c r="G32" t="inlineStr">
        <is>
          <t>None;2 years paid in full;3+ years paid in full</t>
        </is>
      </c>
      <c r="H32" t="inlineStr">
        <is>
          <t>None</t>
        </is>
      </c>
    </row>
    <row r="33">
      <c r="A33" t="inlineStr">
        <is>
          <t>lien_free</t>
        </is>
      </c>
      <c r="B33" t="inlineStr">
        <is>
          <t>E52</t>
        </is>
      </c>
      <c r="C33" t="inlineStr">
        <is>
          <t>dropdown</t>
        </is>
      </c>
      <c r="D33" t="inlineStr">
        <is>
          <t>Lien free</t>
        </is>
      </c>
      <c r="E33" t="inlineStr">
        <is>
          <t>input</t>
        </is>
      </c>
      <c r="F33" t="inlineStr">
        <is>
          <t>Discounts and Surcharges</t>
        </is>
      </c>
      <c r="G33" t="inlineStr">
        <is>
          <t>Yes;No</t>
        </is>
      </c>
      <c r="H33" t="inlineStr">
        <is>
          <t>Yes</t>
        </is>
      </c>
    </row>
    <row r="34">
      <c r="A34" t="inlineStr">
        <is>
          <t>portfolio_discount</t>
        </is>
      </c>
      <c r="B34" t="inlineStr">
        <is>
          <t>E53</t>
        </is>
      </c>
      <c r="C34" t="inlineStr">
        <is>
          <t>dropdown</t>
        </is>
      </c>
      <c r="D34" t="inlineStr">
        <is>
          <t>Portfolio discount</t>
        </is>
      </c>
      <c r="E34" t="inlineStr">
        <is>
          <t>input</t>
        </is>
      </c>
      <c r="F34" t="inlineStr">
        <is>
          <t>Discounts and Surcharges</t>
        </is>
      </c>
      <c r="G34" t="inlineStr">
        <is>
          <t>Home only;Home with auto;Home with valuables at least $250000;Home with valuables at least $100000</t>
        </is>
      </c>
      <c r="H34" t="inlineStr">
        <is>
          <t>Home with valuables at least $100000</t>
        </is>
      </c>
    </row>
    <row r="35">
      <c r="A35" t="inlineStr">
        <is>
          <t>customer_tenure</t>
        </is>
      </c>
      <c r="B35" t="inlineStr">
        <is>
          <t>E54</t>
        </is>
      </c>
      <c r="C35" t="inlineStr">
        <is>
          <t>number</t>
        </is>
      </c>
      <c r="D35" t="inlineStr">
        <is>
          <t>Customer Tenure</t>
        </is>
      </c>
      <c r="E35" t="inlineStr">
        <is>
          <t>input</t>
        </is>
      </c>
      <c r="F35" t="inlineStr">
        <is>
          <t>Discounts and Surcharges</t>
        </is>
      </c>
      <c r="H35" t="inlineStr">
        <is>
          <t>3</t>
        </is>
      </c>
    </row>
    <row r="36">
      <c r="A36" t="inlineStr">
        <is>
          <t>risk_tenure</t>
        </is>
      </c>
      <c r="B36" t="inlineStr">
        <is>
          <t>E55</t>
        </is>
      </c>
      <c r="C36" t="inlineStr">
        <is>
          <t>number</t>
        </is>
      </c>
      <c r="D36" t="inlineStr">
        <is>
          <t>Risk Tenure</t>
        </is>
      </c>
      <c r="E36" t="inlineStr">
        <is>
          <t>input</t>
        </is>
      </c>
      <c r="F36" t="inlineStr">
        <is>
          <t>Discounts and Surcharges</t>
        </is>
      </c>
      <c r="H36" t="inlineStr">
        <is>
          <t>3</t>
        </is>
      </c>
    </row>
    <row r="37">
      <c r="A37" t="inlineStr">
        <is>
          <t>security_protection</t>
        </is>
      </c>
      <c r="B37" t="inlineStr">
        <is>
          <t>E58</t>
        </is>
      </c>
      <c r="C37" t="inlineStr">
        <is>
          <t>dropdown</t>
        </is>
      </c>
      <c r="D37" t="inlineStr">
        <is>
          <t>Security protection</t>
        </is>
      </c>
      <c r="E37" t="inlineStr">
        <is>
          <t>input</t>
        </is>
      </c>
      <c r="F37" t="inlineStr">
        <is>
          <t>Superior Protection</t>
        </is>
      </c>
      <c r="G37" t="inlineStr">
        <is>
          <t>Yes;No</t>
        </is>
      </c>
      <c r="H37" t="inlineStr">
        <is>
          <t>Yes</t>
        </is>
      </c>
    </row>
    <row r="38">
      <c r="A38" t="inlineStr">
        <is>
          <t>full_time_caretaker</t>
        </is>
      </c>
      <c r="B38" t="inlineStr">
        <is>
          <t>E59</t>
        </is>
      </c>
      <c r="C38" t="inlineStr">
        <is>
          <t>dropdown</t>
        </is>
      </c>
      <c r="D38" t="inlineStr">
        <is>
          <t>Full time caretaker</t>
        </is>
      </c>
      <c r="E38" t="inlineStr">
        <is>
          <t>input</t>
        </is>
      </c>
      <c r="F38" t="inlineStr">
        <is>
          <t>Superior Protection</t>
        </is>
      </c>
      <c r="G38" t="inlineStr">
        <is>
          <t>Yes;No</t>
        </is>
      </c>
      <c r="H38" t="inlineStr">
        <is>
          <t>No</t>
        </is>
      </c>
    </row>
    <row r="39">
      <c r="A39" t="inlineStr">
        <is>
          <t>signal_continuity_protection</t>
        </is>
      </c>
      <c r="B39" t="inlineStr">
        <is>
          <t>E60</t>
        </is>
      </c>
      <c r="C39" t="inlineStr">
        <is>
          <t>dropdown</t>
        </is>
      </c>
      <c r="D39" t="inlineStr">
        <is>
          <t>Signal continuity protection</t>
        </is>
      </c>
      <c r="E39" t="inlineStr">
        <is>
          <t>input</t>
        </is>
      </c>
      <c r="F39" t="inlineStr">
        <is>
          <t>Superior Protection</t>
        </is>
      </c>
      <c r="G39" t="inlineStr">
        <is>
          <t>Yes;No</t>
        </is>
      </c>
      <c r="H39" t="inlineStr">
        <is>
          <t>No</t>
        </is>
      </c>
    </row>
    <row r="40">
      <c r="A40" t="inlineStr">
        <is>
          <t>perimeter_gate</t>
        </is>
      </c>
      <c r="B40" t="inlineStr">
        <is>
          <t>E61</t>
        </is>
      </c>
      <c r="C40" t="inlineStr">
        <is>
          <t>dropdown</t>
        </is>
      </c>
      <c r="D40" t="inlineStr">
        <is>
          <t>Perimeter gate</t>
        </is>
      </c>
      <c r="E40" t="inlineStr">
        <is>
          <t>input</t>
        </is>
      </c>
      <c r="F40" t="inlineStr">
        <is>
          <t>Superior Protection</t>
        </is>
      </c>
      <c r="G40" t="inlineStr">
        <is>
          <t>Yes;No</t>
        </is>
      </c>
      <c r="H40" t="inlineStr">
        <is>
          <t>No</t>
        </is>
      </c>
    </row>
    <row r="41">
      <c r="A41" t="inlineStr">
        <is>
          <t>sprinkler_system_water_flow_alarm</t>
        </is>
      </c>
      <c r="B41" t="inlineStr">
        <is>
          <t>E62</t>
        </is>
      </c>
      <c r="C41" t="inlineStr">
        <is>
          <t>dropdown</t>
        </is>
      </c>
      <c r="D41" t="inlineStr">
        <is>
          <t>Sprinkler system water flow alarm</t>
        </is>
      </c>
      <c r="E41" t="inlineStr">
        <is>
          <t>input</t>
        </is>
      </c>
      <c r="F41" t="inlineStr">
        <is>
          <t>Superior Protection</t>
        </is>
      </c>
      <c r="G41" t="inlineStr">
        <is>
          <t>Yes;No</t>
        </is>
      </c>
      <c r="H41" t="inlineStr">
        <is>
          <t>No</t>
        </is>
      </c>
    </row>
    <row r="42">
      <c r="A42" t="inlineStr">
        <is>
          <t>temperature_monitoring_system</t>
        </is>
      </c>
      <c r="B42" t="inlineStr">
        <is>
          <t>E63</t>
        </is>
      </c>
      <c r="C42" t="inlineStr">
        <is>
          <t>dropdown</t>
        </is>
      </c>
      <c r="D42" t="inlineStr">
        <is>
          <t>Temperature monitoring system</t>
        </is>
      </c>
      <c r="E42" t="inlineStr">
        <is>
          <t>input</t>
        </is>
      </c>
      <c r="F42" t="inlineStr">
        <is>
          <t>Superior Protection</t>
        </is>
      </c>
      <c r="G42" t="inlineStr">
        <is>
          <t>Yes;No</t>
        </is>
      </c>
      <c r="H42" t="inlineStr">
        <is>
          <t>No</t>
        </is>
      </c>
    </row>
    <row r="43">
      <c r="A43" t="inlineStr">
        <is>
          <t>electrical_power_back</t>
        </is>
      </c>
      <c r="B43" t="inlineStr">
        <is>
          <t>E64</t>
        </is>
      </c>
      <c r="C43" t="inlineStr">
        <is>
          <t>dropdown</t>
        </is>
      </c>
      <c r="D43" t="inlineStr">
        <is>
          <t>Electrical power back</t>
        </is>
      </c>
      <c r="E43" t="inlineStr">
        <is>
          <t>input</t>
        </is>
      </c>
      <c r="F43" t="inlineStr">
        <is>
          <t>Superior Protection</t>
        </is>
      </c>
      <c r="G43" t="inlineStr">
        <is>
          <t>Yes;No</t>
        </is>
      </c>
      <c r="H43" t="inlineStr">
        <is>
          <t>No</t>
        </is>
      </c>
    </row>
    <row r="44">
      <c r="A44" t="inlineStr">
        <is>
          <t>gas_leakage_detector</t>
        </is>
      </c>
      <c r="B44" t="inlineStr">
        <is>
          <t>E65</t>
        </is>
      </c>
      <c r="C44" t="inlineStr">
        <is>
          <t>dropdown</t>
        </is>
      </c>
      <c r="D44" t="inlineStr">
        <is>
          <t>Gas leakage detector</t>
        </is>
      </c>
      <c r="E44" t="inlineStr">
        <is>
          <t>input</t>
        </is>
      </c>
      <c r="F44" t="inlineStr">
        <is>
          <t>Superior Protection</t>
        </is>
      </c>
      <c r="G44" t="inlineStr">
        <is>
          <t>Yes;No</t>
        </is>
      </c>
      <c r="H44" t="inlineStr">
        <is>
          <t>No</t>
        </is>
      </c>
    </row>
    <row r="45">
      <c r="A45" t="inlineStr">
        <is>
          <t>seismic_shutoff_valve</t>
        </is>
      </c>
      <c r="B45" t="inlineStr">
        <is>
          <t>E66</t>
        </is>
      </c>
      <c r="C45" t="inlineStr">
        <is>
          <t>dropdown</t>
        </is>
      </c>
      <c r="D45" t="inlineStr">
        <is>
          <t>Seismic shutoff valve</t>
        </is>
      </c>
      <c r="E45" t="inlineStr">
        <is>
          <t>input</t>
        </is>
      </c>
      <c r="F45" t="inlineStr">
        <is>
          <t>Superior Protection</t>
        </is>
      </c>
      <c r="G45" t="inlineStr">
        <is>
          <t>Yes;No</t>
        </is>
      </c>
      <c r="H45" t="inlineStr">
        <is>
          <t>No</t>
        </is>
      </c>
    </row>
    <row r="46">
      <c r="A46" t="inlineStr">
        <is>
          <t>lightning_protection_system</t>
        </is>
      </c>
      <c r="B46" t="inlineStr">
        <is>
          <t>E67</t>
        </is>
      </c>
      <c r="C46" t="inlineStr">
        <is>
          <t>dropdown</t>
        </is>
      </c>
      <c r="D46" t="inlineStr">
        <is>
          <t>Lightning protection system</t>
        </is>
      </c>
      <c r="E46" t="inlineStr">
        <is>
          <t>input</t>
        </is>
      </c>
      <c r="F46" t="inlineStr">
        <is>
          <t>Superior Protection</t>
        </is>
      </c>
      <c r="G46" t="inlineStr">
        <is>
          <t>Yes;No</t>
        </is>
      </c>
      <c r="H46" t="inlineStr">
        <is>
          <t>No</t>
        </is>
      </c>
    </row>
    <row r="47">
      <c r="A47" t="inlineStr">
        <is>
          <t>water_leak_detection</t>
        </is>
      </c>
      <c r="B47" t="inlineStr">
        <is>
          <t>E68</t>
        </is>
      </c>
      <c r="C47" t="inlineStr">
        <is>
          <t>dropdown</t>
        </is>
      </c>
      <c r="D47" t="inlineStr">
        <is>
          <t>Water leak detection</t>
        </is>
      </c>
      <c r="E47" t="inlineStr">
        <is>
          <t>input</t>
        </is>
      </c>
      <c r="F47" t="inlineStr">
        <is>
          <t>Superior Protection</t>
        </is>
      </c>
      <c r="G47" t="inlineStr">
        <is>
          <t>None;Activate central alarm;Closes master plumbing valve;Both</t>
        </is>
      </c>
      <c r="H47" t="inlineStr">
        <is>
          <t>None</t>
        </is>
      </c>
    </row>
    <row r="48">
      <c r="A48" t="inlineStr">
        <is>
          <t>cancellation</t>
        </is>
      </c>
      <c r="B48" t="inlineStr">
        <is>
          <t>E71</t>
        </is>
      </c>
      <c r="C48" t="inlineStr">
        <is>
          <t>dropdown</t>
        </is>
      </c>
      <c r="D48" t="inlineStr">
        <is>
          <t>Cancellation</t>
        </is>
      </c>
      <c r="E48" t="inlineStr">
        <is>
          <t>input</t>
        </is>
      </c>
      <c r="F48" t="inlineStr">
        <is>
          <t>Loss and Claims</t>
        </is>
      </c>
      <c r="G48" t="inlineStr">
        <is>
          <t>Yes;No</t>
        </is>
      </c>
      <c r="H48" t="inlineStr">
        <is>
          <t>Yes</t>
        </is>
      </c>
    </row>
    <row r="49">
      <c r="A49" t="inlineStr">
        <is>
          <t>roof_covering</t>
        </is>
      </c>
      <c r="B49" t="inlineStr">
        <is>
          <t>E72</t>
        </is>
      </c>
      <c r="C49" t="inlineStr">
        <is>
          <t>dropdown</t>
        </is>
      </c>
      <c r="D49" t="inlineStr">
        <is>
          <t>Roof covering</t>
        </is>
      </c>
      <c r="E49" t="inlineStr">
        <is>
          <t>input</t>
        </is>
      </c>
      <c r="F49" t="inlineStr">
        <is>
          <t>Loss and Claims</t>
        </is>
      </c>
      <c r="G49" t="inlineStr">
        <is>
          <t>Yes;No</t>
        </is>
      </c>
      <c r="H49" t="inlineStr">
        <is>
          <t>Yes</t>
        </is>
      </c>
    </row>
    <row r="50">
      <c r="A50" t="inlineStr">
        <is>
          <t>rented_to_others</t>
        </is>
      </c>
      <c r="B50" t="inlineStr">
        <is>
          <t>E73</t>
        </is>
      </c>
      <c r="C50" t="inlineStr">
        <is>
          <t>dropdown</t>
        </is>
      </c>
      <c r="D50" t="inlineStr">
        <is>
          <t>Rented to others</t>
        </is>
      </c>
      <c r="E50" t="inlineStr">
        <is>
          <t>input</t>
        </is>
      </c>
      <c r="F50" t="inlineStr">
        <is>
          <t>Loss and Claims</t>
        </is>
      </c>
      <c r="G50" t="inlineStr">
        <is>
          <t>Yes;No</t>
        </is>
      </c>
      <c r="H50" t="inlineStr">
        <is>
          <t>Yes</t>
        </is>
      </c>
    </row>
    <row r="51">
      <c r="A51" t="inlineStr">
        <is>
          <t>undervalue</t>
        </is>
      </c>
      <c r="B51" t="inlineStr">
        <is>
          <t>E74</t>
        </is>
      </c>
      <c r="C51" t="inlineStr">
        <is>
          <t>dropdown</t>
        </is>
      </c>
      <c r="D51" t="inlineStr">
        <is>
          <t>Undervalue</t>
        </is>
      </c>
      <c r="E51" t="inlineStr">
        <is>
          <t>input</t>
        </is>
      </c>
      <c r="F51" t="inlineStr">
        <is>
          <t>Loss and Claims</t>
        </is>
      </c>
      <c r="G51" t="inlineStr">
        <is>
          <t>Yes;No</t>
        </is>
      </c>
      <c r="H51" t="inlineStr">
        <is>
          <t>Yes</t>
        </is>
      </c>
    </row>
    <row r="52">
      <c r="A52" t="inlineStr">
        <is>
          <t>renovation_or_construction_surcharge</t>
        </is>
      </c>
      <c r="B52" t="inlineStr">
        <is>
          <t>E75</t>
        </is>
      </c>
      <c r="C52" t="inlineStr">
        <is>
          <t>dropdown</t>
        </is>
      </c>
      <c r="D52" t="inlineStr">
        <is>
          <t>Renovation or Construction surcharge</t>
        </is>
      </c>
      <c r="E52" t="inlineStr">
        <is>
          <t>input</t>
        </is>
      </c>
      <c r="F52" t="inlineStr">
        <is>
          <t>Loss and Claims</t>
        </is>
      </c>
      <c r="G52" t="inlineStr">
        <is>
          <t>None;Major;Minor</t>
        </is>
      </c>
      <c r="H52" t="inlineStr">
        <is>
          <t>None</t>
        </is>
      </c>
    </row>
    <row r="53">
      <c r="A53" t="inlineStr">
        <is>
          <t>vacant_house</t>
        </is>
      </c>
      <c r="B53" t="inlineStr">
        <is>
          <t>E76</t>
        </is>
      </c>
      <c r="C53" t="inlineStr">
        <is>
          <t>dropdown</t>
        </is>
      </c>
      <c r="D53" t="inlineStr">
        <is>
          <t>Vacant house</t>
        </is>
      </c>
      <c r="E53" t="inlineStr">
        <is>
          <t>input</t>
        </is>
      </c>
      <c r="F53" t="inlineStr">
        <is>
          <t>Loss and Claims</t>
        </is>
      </c>
      <c r="G53" t="inlineStr">
        <is>
          <t>Yes;No</t>
        </is>
      </c>
      <c r="H53" t="inlineStr">
        <is>
          <t>Yes</t>
        </is>
      </c>
    </row>
    <row r="54">
      <c r="A54" t="inlineStr">
        <is>
          <t>claims_in_3_years</t>
        </is>
      </c>
      <c r="B54" t="inlineStr">
        <is>
          <t>E77</t>
        </is>
      </c>
      <c r="C54" t="inlineStr">
        <is>
          <t>number</t>
        </is>
      </c>
      <c r="D54" t="inlineStr">
        <is>
          <t>Claims in 3 years</t>
        </is>
      </c>
      <c r="E54" t="inlineStr">
        <is>
          <t>input</t>
        </is>
      </c>
      <c r="F54" t="inlineStr">
        <is>
          <t>Loss and Claims</t>
        </is>
      </c>
      <c r="H54" t="inlineStr">
        <is>
          <t>0</t>
        </is>
      </c>
    </row>
    <row r="55">
      <c r="A55" t="inlineStr">
        <is>
          <t>liability_coverage</t>
        </is>
      </c>
      <c r="B55" t="inlineStr">
        <is>
          <t>E79</t>
        </is>
      </c>
      <c r="C55" t="inlineStr">
        <is>
          <t>dropdown</t>
        </is>
      </c>
      <c r="D55" t="inlineStr">
        <is>
          <t>Liability coverage</t>
        </is>
      </c>
      <c r="E55" t="inlineStr">
        <is>
          <t>input</t>
        </is>
      </c>
      <c r="F55" t="inlineStr">
        <is>
          <t>Optional Coverages</t>
        </is>
      </c>
      <c r="G55" t="inlineStr">
        <is>
          <t>50000;100000;200000;300000;500000;1000000;2000000;3000000;5000000;10000000</t>
        </is>
      </c>
      <c r="H55" t="inlineStr">
        <is>
          <t>1000000</t>
        </is>
      </c>
    </row>
    <row r="56">
      <c r="A56" t="inlineStr">
        <is>
          <t>house_replacement_cost</t>
        </is>
      </c>
      <c r="B56" t="inlineStr">
        <is>
          <t>E81</t>
        </is>
      </c>
      <c r="C56" t="inlineStr">
        <is>
          <t>dropdown</t>
        </is>
      </c>
      <c r="D56" t="inlineStr">
        <is>
          <t>House replacement cost</t>
        </is>
      </c>
      <c r="E56" t="inlineStr">
        <is>
          <t>input</t>
        </is>
      </c>
      <c r="F56" t="inlineStr">
        <is>
          <t>Optional Coverages</t>
        </is>
      </c>
      <c r="G56" t="inlineStr">
        <is>
          <t>Yes;No</t>
        </is>
      </c>
      <c r="H56" t="inlineStr">
        <is>
          <t>No</t>
        </is>
      </c>
    </row>
    <row r="57">
      <c r="A57" t="inlineStr">
        <is>
          <t>residence_employee_occasional</t>
        </is>
      </c>
      <c r="B57" t="inlineStr">
        <is>
          <t>E84</t>
        </is>
      </c>
      <c r="C57" t="inlineStr">
        <is>
          <t>dropdown</t>
        </is>
      </c>
      <c r="D57" t="inlineStr">
        <is>
          <t>Residence Employee Occasional</t>
        </is>
      </c>
      <c r="E57" t="inlineStr">
        <is>
          <t>input</t>
        </is>
      </c>
      <c r="F57" t="inlineStr">
        <is>
          <t>Optional Coverages</t>
        </is>
      </c>
      <c r="G57" t="inlineStr">
        <is>
          <t>Yes;No</t>
        </is>
      </c>
      <c r="H57" t="inlineStr">
        <is>
          <t>Yes</t>
        </is>
      </c>
    </row>
    <row r="58">
      <c r="A58" t="inlineStr">
        <is>
          <t>residence_employee_full_time_inservant</t>
        </is>
      </c>
      <c r="B58" t="inlineStr">
        <is>
          <t>E85</t>
        </is>
      </c>
      <c r="C58" t="inlineStr">
        <is>
          <t>number</t>
        </is>
      </c>
      <c r="D58" t="inlineStr">
        <is>
          <t>Residence Employee Full-time inservant</t>
        </is>
      </c>
      <c r="E58" t="inlineStr">
        <is>
          <t>input</t>
        </is>
      </c>
      <c r="F58" t="inlineStr">
        <is>
          <t>Optional Coverages</t>
        </is>
      </c>
      <c r="H58" t="inlineStr">
        <is>
          <t>1</t>
        </is>
      </c>
    </row>
    <row r="59">
      <c r="A59" t="inlineStr">
        <is>
          <t>residence_employee_full_time_outservant</t>
        </is>
      </c>
      <c r="B59" t="inlineStr">
        <is>
          <t>E86</t>
        </is>
      </c>
      <c r="C59" t="inlineStr">
        <is>
          <t>number</t>
        </is>
      </c>
      <c r="D59" t="inlineStr">
        <is>
          <t>Residence Employee Full-time outservant</t>
        </is>
      </c>
      <c r="E59" t="inlineStr">
        <is>
          <t>input</t>
        </is>
      </c>
      <c r="F59" t="inlineStr">
        <is>
          <t>Optional Coverages</t>
        </is>
      </c>
      <c r="H59" t="inlineStr">
        <is>
          <t>1</t>
        </is>
      </c>
    </row>
    <row r="60">
      <c r="A60" t="inlineStr">
        <is>
          <t>employment_practices_liability</t>
        </is>
      </c>
      <c r="B60" t="inlineStr">
        <is>
          <t>E88</t>
        </is>
      </c>
      <c r="C60" t="inlineStr">
        <is>
          <t>dropdown</t>
        </is>
      </c>
      <c r="D60" t="inlineStr">
        <is>
          <t>Employment practices liability</t>
        </is>
      </c>
      <c r="E60" t="inlineStr">
        <is>
          <t>input</t>
        </is>
      </c>
      <c r="F60" t="inlineStr">
        <is>
          <t>Optional Coverages</t>
        </is>
      </c>
      <c r="G60" t="inlineStr">
        <is>
          <t>None;A;B</t>
        </is>
      </c>
      <c r="H60" t="inlineStr">
        <is>
          <t>B</t>
        </is>
      </c>
    </row>
    <row r="61">
      <c r="A61" t="inlineStr">
        <is>
          <t>family_protection</t>
        </is>
      </c>
      <c r="B61" t="inlineStr">
        <is>
          <t>E90</t>
        </is>
      </c>
      <c r="C61" t="inlineStr">
        <is>
          <t>dropdown</t>
        </is>
      </c>
      <c r="D61" t="inlineStr">
        <is>
          <t>Family Protection</t>
        </is>
      </c>
      <c r="E61" t="inlineStr">
        <is>
          <t>input</t>
        </is>
      </c>
      <c r="F61" t="inlineStr">
        <is>
          <t>Optional Coverages</t>
        </is>
      </c>
      <c r="G61" t="inlineStr">
        <is>
          <t>Yes;No</t>
        </is>
      </c>
      <c r="H61" t="inlineStr">
        <is>
          <t>Yes</t>
        </is>
      </c>
    </row>
    <row r="62">
      <c r="A62" t="inlineStr">
        <is>
          <t>homeowners_unit_assessments</t>
        </is>
      </c>
      <c r="B62" t="inlineStr">
        <is>
          <t>E92</t>
        </is>
      </c>
      <c r="C62" t="inlineStr">
        <is>
          <t>number</t>
        </is>
      </c>
      <c r="D62" t="inlineStr">
        <is>
          <t>Homeowners/unit assessments</t>
        </is>
      </c>
      <c r="E62" t="inlineStr">
        <is>
          <t>input</t>
        </is>
      </c>
      <c r="F62" t="inlineStr">
        <is>
          <t>Optional Coverages</t>
        </is>
      </c>
      <c r="H62" t="inlineStr">
        <is>
          <t>100000</t>
        </is>
      </c>
    </row>
    <row r="63">
      <c r="A63" t="inlineStr">
        <is>
          <t>landscaping</t>
        </is>
      </c>
      <c r="B63" t="inlineStr">
        <is>
          <t>E94</t>
        </is>
      </c>
      <c r="C63" t="inlineStr">
        <is>
          <t>number</t>
        </is>
      </c>
      <c r="D63" t="inlineStr">
        <is>
          <t>Landscaping</t>
        </is>
      </c>
      <c r="E63" t="inlineStr">
        <is>
          <t>input</t>
        </is>
      </c>
      <c r="F63" t="inlineStr">
        <is>
          <t>Optional Coverages</t>
        </is>
      </c>
      <c r="H63" t="inlineStr">
        <is>
          <t>100000</t>
        </is>
      </c>
    </row>
    <row r="64">
      <c r="A64" t="inlineStr">
        <is>
          <t>landscaping_total_trees_excess</t>
        </is>
      </c>
      <c r="B64" t="inlineStr">
        <is>
          <t>E95</t>
        </is>
      </c>
      <c r="C64" t="inlineStr">
        <is>
          <t>number</t>
        </is>
      </c>
      <c r="D64" t="inlineStr">
        <is>
          <t>Landscaping total trees excess</t>
        </is>
      </c>
      <c r="E64" t="inlineStr">
        <is>
          <t>input</t>
        </is>
      </c>
      <c r="F64" t="inlineStr">
        <is>
          <t>Optional Coverages</t>
        </is>
      </c>
      <c r="H64" t="inlineStr">
        <is>
          <t>0</t>
        </is>
      </c>
    </row>
    <row r="65">
      <c r="A65" t="inlineStr">
        <is>
          <t>landscaping_most_expensive_tree</t>
        </is>
      </c>
      <c r="B65" t="inlineStr">
        <is>
          <t>E96</t>
        </is>
      </c>
      <c r="C65" t="inlineStr">
        <is>
          <t>number</t>
        </is>
      </c>
      <c r="D65" t="inlineStr">
        <is>
          <t>Landscaping most expensive tree</t>
        </is>
      </c>
      <c r="E65" t="inlineStr">
        <is>
          <t>input</t>
        </is>
      </c>
      <c r="F65" t="inlineStr">
        <is>
          <t>Optional Coverages</t>
        </is>
      </c>
      <c r="H65" t="inlineStr">
        <is>
          <t>0</t>
        </is>
      </c>
    </row>
    <row r="66">
      <c r="A66" t="inlineStr">
        <is>
          <t>landscaping_wind_and_hail</t>
        </is>
      </c>
      <c r="B66" t="inlineStr">
        <is>
          <t>E97</t>
        </is>
      </c>
      <c r="C66" t="inlineStr">
        <is>
          <t>number</t>
        </is>
      </c>
      <c r="D66" t="inlineStr">
        <is>
          <t>Landscaping wind and hail</t>
        </is>
      </c>
      <c r="E66" t="inlineStr">
        <is>
          <t>input</t>
        </is>
      </c>
      <c r="F66" t="inlineStr">
        <is>
          <t>Optional Coverages</t>
        </is>
      </c>
      <c r="H66" t="inlineStr">
        <is>
          <t>0</t>
        </is>
      </c>
    </row>
    <row r="67">
      <c r="A67" t="inlineStr">
        <is>
          <t>landscaping_sleet_ice_snow</t>
        </is>
      </c>
      <c r="B67" t="inlineStr">
        <is>
          <t>E98</t>
        </is>
      </c>
      <c r="C67" t="inlineStr">
        <is>
          <t>number</t>
        </is>
      </c>
      <c r="D67" t="inlineStr">
        <is>
          <t>Landscaping sleet ice snow</t>
        </is>
      </c>
      <c r="E67" t="inlineStr">
        <is>
          <t>input</t>
        </is>
      </c>
      <c r="F67" t="inlineStr">
        <is>
          <t>Optional Coverages</t>
        </is>
      </c>
      <c r="H67" t="inlineStr">
        <is>
          <t>0</t>
        </is>
      </c>
    </row>
    <row r="68">
      <c r="A68" t="inlineStr">
        <is>
          <t>business_property</t>
        </is>
      </c>
      <c r="B68" t="inlineStr">
        <is>
          <t>E100</t>
        </is>
      </c>
      <c r="C68" t="inlineStr">
        <is>
          <t>number</t>
        </is>
      </c>
      <c r="D68" t="inlineStr">
        <is>
          <t>Business property</t>
        </is>
      </c>
      <c r="E68" t="inlineStr">
        <is>
          <t>input</t>
        </is>
      </c>
      <c r="F68" t="inlineStr">
        <is>
          <t>Optional Coverages</t>
        </is>
      </c>
      <c r="H68" t="inlineStr">
        <is>
          <t>50000</t>
        </is>
      </c>
    </row>
    <row r="69">
      <c r="A69" t="inlineStr">
        <is>
          <t>student_additional_living_expenses</t>
        </is>
      </c>
      <c r="B69" t="inlineStr">
        <is>
          <t>E102</t>
        </is>
      </c>
      <c r="C69" t="inlineStr">
        <is>
          <t>number</t>
        </is>
      </c>
      <c r="D69" t="inlineStr">
        <is>
          <t>Student additional living expenses</t>
        </is>
      </c>
      <c r="E69" t="inlineStr">
        <is>
          <t>input</t>
        </is>
      </c>
      <c r="F69" t="inlineStr">
        <is>
          <t>Optional Coverages</t>
        </is>
      </c>
      <c r="H69" t="inlineStr">
        <is>
          <t>5000</t>
        </is>
      </c>
    </row>
    <row r="70">
      <c r="A70" t="inlineStr">
        <is>
          <t>assisted_living_care_coverage</t>
        </is>
      </c>
      <c r="B70" t="inlineStr">
        <is>
          <t>E104</t>
        </is>
      </c>
      <c r="C70" t="inlineStr">
        <is>
          <t>number</t>
        </is>
      </c>
      <c r="D70" t="inlineStr">
        <is>
          <t>Assisted living care coverage</t>
        </is>
      </c>
      <c r="E70" t="inlineStr">
        <is>
          <t>input</t>
        </is>
      </c>
      <c r="F70" t="inlineStr">
        <is>
          <t>Optional Coverages</t>
        </is>
      </c>
      <c r="H70" t="inlineStr">
        <is>
          <t>5000</t>
        </is>
      </c>
    </row>
    <row r="71">
      <c r="A71" t="inlineStr">
        <is>
          <t>total_premium</t>
        </is>
      </c>
      <c r="B71" t="inlineStr">
        <is>
          <t>J11</t>
        </is>
      </c>
      <c r="C71" t="inlineStr">
        <is>
          <t>number</t>
        </is>
      </c>
      <c r="D71" t="inlineStr">
        <is>
          <t>Total premium</t>
        </is>
      </c>
      <c r="E71" t="inlineStr">
        <is>
          <t>output</t>
        </is>
      </c>
      <c r="F71" t="inlineStr">
        <is>
          <t>Results</t>
        </is>
      </c>
    </row>
    <row r="72">
      <c r="A72" t="inlineStr">
        <is>
          <t>adjusted_premium</t>
        </is>
      </c>
      <c r="B72" t="inlineStr">
        <is>
          <t>J9</t>
        </is>
      </c>
      <c r="C72" t="inlineStr">
        <is>
          <t>number</t>
        </is>
      </c>
      <c r="D72" t="inlineStr">
        <is>
          <t>Adjusted Premium</t>
        </is>
      </c>
      <c r="E72" t="inlineStr">
        <is>
          <t>output</t>
        </is>
      </c>
      <c r="F72" t="inlineStr">
        <is>
          <t>Results</t>
        </is>
      </c>
    </row>
    <row r="73">
      <c r="A73" t="inlineStr">
        <is>
          <t>base_premium</t>
        </is>
      </c>
      <c r="B73" t="inlineStr">
        <is>
          <t>J8</t>
        </is>
      </c>
      <c r="C73" t="inlineStr">
        <is>
          <t>number</t>
        </is>
      </c>
      <c r="D73" t="inlineStr">
        <is>
          <t>Base premium</t>
        </is>
      </c>
      <c r="E73" t="inlineStr">
        <is>
          <t>output</t>
        </is>
      </c>
      <c r="F73" t="inlineStr">
        <is>
          <t>Results</t>
        </is>
      </c>
    </row>
    <row r="74">
      <c r="A74" t="inlineStr">
        <is>
          <t>dollar_adjustments</t>
        </is>
      </c>
      <c r="B74" t="inlineStr">
        <is>
          <t>J10</t>
        </is>
      </c>
      <c r="C74" t="inlineStr">
        <is>
          <t>number</t>
        </is>
      </c>
      <c r="D74" t="inlineStr">
        <is>
          <t>Dollar adjustments</t>
        </is>
      </c>
      <c r="E74" t="inlineStr">
        <is>
          <t>output</t>
        </is>
      </c>
      <c r="F74" t="inlineStr">
        <is>
          <t>Results</t>
        </is>
      </c>
    </row>
    <row r="75">
      <c r="A75" t="inlineStr">
        <is>
          <t>refer_flag</t>
        </is>
      </c>
      <c r="B75" t="inlineStr">
        <is>
          <t>J12</t>
        </is>
      </c>
      <c r="C75" t="inlineStr">
        <is>
          <t>text</t>
        </is>
      </c>
      <c r="D75" t="inlineStr">
        <is>
          <t>Refer</t>
        </is>
      </c>
      <c r="E75" t="inlineStr">
        <is>
          <t>output</t>
        </is>
      </c>
      <c r="F75" t="inlineStr">
        <is>
          <t>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Simon Tam</dc:creator>
  <dcterms:created xmlns:dcterms="http://purl.org/dc/terms/" xmlns:xsi="http://www.w3.org/2001/XMLSchema-instance" xsi:type="dcterms:W3CDTF">2021-03-01T11:24:59Z</dcterms:created>
  <dcterms:modified xmlns:dcterms="http://purl.org/dc/terms/" xmlns:xsi="http://www.w3.org/2001/XMLSchema-instance" xsi:type="dcterms:W3CDTF">2026-03-17T18:43:04Z</dcterms:modified>
  <cp:lastModifiedBy>Simon Tam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0x010100AE3A392075C67B4BB3C43024092C4209</vt:lpwstr>
  </property>
</Properties>
</file>